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Excle\Projects\"/>
    </mc:Choice>
  </mc:AlternateContent>
  <bookViews>
    <workbookView xWindow="0" yWindow="0" windowWidth="20490" windowHeight="7530" activeTab="2"/>
  </bookViews>
  <sheets>
    <sheet name="Project Overview" sheetId="6" r:id="rId1"/>
    <sheet name="Dashboard" sheetId="5" r:id="rId2"/>
    <sheet name="Month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5" l="1"/>
  <c r="AF60" i="5"/>
  <c r="AE60" i="5"/>
  <c r="AD60" i="5"/>
  <c r="AC60" i="5"/>
  <c r="AB60" i="5"/>
  <c r="AA60" i="5"/>
  <c r="Z60" i="5"/>
  <c r="X60" i="5"/>
  <c r="W60" i="5"/>
  <c r="V60" i="5"/>
  <c r="U60" i="5"/>
  <c r="T60" i="5"/>
  <c r="S60" i="5"/>
  <c r="R60" i="5"/>
  <c r="P60" i="5"/>
  <c r="O60" i="5"/>
  <c r="N60" i="5"/>
  <c r="M60" i="5"/>
  <c r="L60" i="5"/>
  <c r="K60" i="5"/>
  <c r="J60" i="5"/>
  <c r="H60" i="5"/>
  <c r="G60" i="5"/>
  <c r="F60" i="5"/>
  <c r="E60" i="5"/>
  <c r="D60" i="5"/>
  <c r="C60" i="5"/>
  <c r="B60" i="5"/>
  <c r="AF35" i="5"/>
  <c r="AE35" i="5"/>
  <c r="AD35" i="5"/>
  <c r="AC35" i="5"/>
  <c r="AB35" i="5"/>
  <c r="AA35" i="5"/>
  <c r="Z35" i="5"/>
  <c r="X35" i="5"/>
  <c r="W35" i="5"/>
  <c r="V35" i="5"/>
  <c r="U35" i="5"/>
  <c r="T35" i="5"/>
  <c r="S35" i="5"/>
  <c r="R35" i="5"/>
  <c r="P35" i="5"/>
  <c r="O35" i="5"/>
  <c r="N35" i="5"/>
  <c r="M35" i="5"/>
  <c r="L35" i="5"/>
  <c r="K35" i="5"/>
  <c r="J35" i="5"/>
  <c r="G35" i="5"/>
  <c r="E35" i="5"/>
  <c r="C35" i="5"/>
  <c r="AE10" i="5"/>
  <c r="AC10" i="5"/>
  <c r="AA10" i="5"/>
  <c r="P10" i="5"/>
  <c r="O10" i="5"/>
  <c r="N10" i="5"/>
  <c r="M10" i="5"/>
  <c r="L10" i="5"/>
  <c r="K10" i="5"/>
  <c r="J10" i="5"/>
  <c r="H10" i="5"/>
  <c r="G10" i="5"/>
  <c r="F10" i="5"/>
  <c r="E10" i="5"/>
  <c r="D10" i="5"/>
  <c r="C10" i="5"/>
  <c r="B10" i="5"/>
  <c r="D39" i="2" l="1"/>
  <c r="CO40" i="2"/>
  <c r="CN39" i="2"/>
  <c r="CO38" i="2"/>
  <c r="CN37" i="2"/>
  <c r="CO36" i="2"/>
  <c r="CN35" i="2"/>
  <c r="CF39" i="2"/>
  <c r="CG38" i="2"/>
  <c r="CG40" i="2"/>
  <c r="CF37" i="2"/>
  <c r="CG36" i="2"/>
  <c r="CF35" i="2"/>
  <c r="BY40" i="2"/>
  <c r="BX39" i="2"/>
  <c r="BY38" i="2"/>
  <c r="BX37" i="2"/>
  <c r="BY36" i="2"/>
  <c r="BX35" i="2"/>
  <c r="BQ40" i="2"/>
  <c r="BP39" i="2"/>
  <c r="BQ38" i="2"/>
  <c r="BP37" i="2"/>
  <c r="BQ36" i="2"/>
  <c r="BP35" i="2"/>
  <c r="BP41" i="2" l="1"/>
  <c r="BX41" i="2"/>
  <c r="CF41" i="2"/>
  <c r="CN41" i="2"/>
  <c r="BI40" i="2"/>
  <c r="BH39" i="2"/>
  <c r="BI38" i="2"/>
  <c r="BH37" i="2"/>
  <c r="BI36" i="2"/>
  <c r="BH35" i="2"/>
  <c r="BA40" i="2"/>
  <c r="AZ39" i="2"/>
  <c r="AZ37" i="2"/>
  <c r="BA38" i="2"/>
  <c r="BA36" i="2"/>
  <c r="AZ35" i="2"/>
  <c r="AS40" i="2"/>
  <c r="AR39" i="2"/>
  <c r="AS38" i="2"/>
  <c r="AR37" i="2"/>
  <c r="AS36" i="2"/>
  <c r="AR35" i="2"/>
  <c r="AJ39" i="2"/>
  <c r="AK40" i="2"/>
  <c r="AK38" i="2"/>
  <c r="AJ37" i="2"/>
  <c r="AK36" i="2"/>
  <c r="AJ35" i="2"/>
  <c r="AC40" i="2"/>
  <c r="AB39" i="2"/>
  <c r="AC38" i="2"/>
  <c r="AB37" i="2"/>
  <c r="AC36" i="2"/>
  <c r="AB35" i="2"/>
  <c r="U40" i="2"/>
  <c r="T39" i="2"/>
  <c r="U38" i="2"/>
  <c r="T37" i="2"/>
  <c r="U36" i="2"/>
  <c r="T35" i="2"/>
  <c r="M40" i="2"/>
  <c r="L39" i="2"/>
  <c r="M38" i="2"/>
  <c r="L37" i="2"/>
  <c r="M36" i="2"/>
  <c r="L35" i="2"/>
  <c r="B35" i="5" l="1"/>
  <c r="D35" i="5"/>
  <c r="F35" i="5"/>
  <c r="Z10" i="5"/>
  <c r="AB10" i="5"/>
  <c r="AD10" i="5"/>
  <c r="S10" i="5"/>
  <c r="P5" i="5" s="1"/>
  <c r="U10" i="5"/>
  <c r="W10" i="5"/>
  <c r="T10" i="5"/>
  <c r="R10" i="5"/>
  <c r="L5" i="5" s="1"/>
  <c r="V10" i="5"/>
  <c r="L41" i="2"/>
  <c r="AZ41" i="2"/>
  <c r="BH41" i="2"/>
  <c r="AR41" i="2"/>
  <c r="T41" i="2"/>
  <c r="AB41" i="2"/>
  <c r="AJ41" i="2"/>
  <c r="E40" i="2"/>
  <c r="E38" i="2"/>
  <c r="D37" i="2"/>
  <c r="E36" i="2"/>
  <c r="D35" i="2"/>
  <c r="H35" i="5" l="1"/>
  <c r="AF10" i="5"/>
  <c r="X10" i="5"/>
  <c r="D41" i="2"/>
</calcChain>
</file>

<file path=xl/sharedStrings.xml><?xml version="1.0" encoding="utf-8"?>
<sst xmlns="http://schemas.openxmlformats.org/spreadsheetml/2006/main" count="1111" uniqueCount="241">
  <si>
    <t>Date</t>
  </si>
  <si>
    <t>Category</t>
  </si>
  <si>
    <t>Description</t>
  </si>
  <si>
    <t>Income</t>
  </si>
  <si>
    <t>Expense</t>
  </si>
  <si>
    <t>2025-01-01</t>
  </si>
  <si>
    <t>Shopping</t>
  </si>
  <si>
    <t>Electricity Bill</t>
  </si>
  <si>
    <t>2025-01-02</t>
  </si>
  <si>
    <t>Entertainment</t>
  </si>
  <si>
    <t>Bus Fare</t>
  </si>
  <si>
    <t>2025-01-03</t>
  </si>
  <si>
    <t>Utilities</t>
  </si>
  <si>
    <t>Doctor Visit</t>
  </si>
  <si>
    <t>2025-01-04</t>
  </si>
  <si>
    <t>Movie</t>
  </si>
  <si>
    <t>2025-01-05</t>
  </si>
  <si>
    <t>Groceries</t>
  </si>
  <si>
    <t>2025-01-06</t>
  </si>
  <si>
    <t>Books</t>
  </si>
  <si>
    <t>2025-01-07</t>
  </si>
  <si>
    <t>Health</t>
  </si>
  <si>
    <t>January Salary</t>
  </si>
  <si>
    <t>2025-01-08</t>
  </si>
  <si>
    <t>2025-01-09</t>
  </si>
  <si>
    <t>Transport</t>
  </si>
  <si>
    <t>2025-01-10</t>
  </si>
  <si>
    <t>2025-01-11</t>
  </si>
  <si>
    <t>Food</t>
  </si>
  <si>
    <t>Clothes</t>
  </si>
  <si>
    <t>2025-01-13</t>
  </si>
  <si>
    <t>2025-01-14</t>
  </si>
  <si>
    <t>2025-01-15</t>
  </si>
  <si>
    <t>2025-01-16</t>
  </si>
  <si>
    <t>2025-01-17</t>
  </si>
  <si>
    <t>Salary</t>
  </si>
  <si>
    <t>2025-01-18</t>
  </si>
  <si>
    <t>Education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</si>
  <si>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</si>
  <si>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</si>
  <si>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</si>
  <si>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</si>
  <si>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</si>
  <si>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</si>
  <si>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</si>
  <si>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</si>
  <si>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</si>
  <si>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</si>
  <si>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</si>
  <si>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</si>
  <si>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</si>
  <si>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</si>
  <si>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</si>
  <si>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</si>
  <si>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</si>
  <si>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</si>
  <si>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</si>
  <si>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</si>
  <si>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</si>
  <si>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</si>
  <si>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</si>
  <si>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</si>
  <si>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</si>
  <si>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</si>
  <si>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</si>
  <si>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</si>
  <si>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</si>
  <si>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</si>
  <si>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</si>
  <si>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</si>
  <si>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</si>
  <si>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</si>
  <si>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</si>
  <si>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</si>
  <si>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</si>
  <si>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</si>
  <si>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</si>
  <si>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</si>
  <si>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</si>
  <si>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January</t>
  </si>
  <si>
    <t>Jan Summary</t>
  </si>
  <si>
    <t>Saving</t>
  </si>
  <si>
    <t>Max</t>
  </si>
  <si>
    <t>Min</t>
  </si>
  <si>
    <t>Short Summary</t>
  </si>
  <si>
    <t>Max Income</t>
  </si>
  <si>
    <t>Min Income</t>
  </si>
  <si>
    <t>Min Expense</t>
  </si>
  <si>
    <t>Max Expense</t>
  </si>
  <si>
    <t>Feb Summary</t>
  </si>
  <si>
    <t>February</t>
  </si>
  <si>
    <t>February Salary</t>
  </si>
  <si>
    <t>March</t>
  </si>
  <si>
    <t>Mar Summary</t>
  </si>
  <si>
    <t>Course Fee</t>
  </si>
  <si>
    <t>Rent</t>
  </si>
  <si>
    <t>Electronics</t>
  </si>
  <si>
    <t>Restaurant</t>
  </si>
  <si>
    <t>Fuel</t>
  </si>
  <si>
    <t>Concert Ticket</t>
  </si>
  <si>
    <t>March Salary</t>
  </si>
  <si>
    <t>Pharmacy</t>
  </si>
  <si>
    <t>Home Decor</t>
  </si>
  <si>
    <t>Online Subscription</t>
  </si>
  <si>
    <t>Water Bill</t>
  </si>
  <si>
    <t>Delivery</t>
  </si>
  <si>
    <t>Taxi</t>
  </si>
  <si>
    <t>Gaming</t>
  </si>
  <si>
    <t>Gym Fee</t>
  </si>
  <si>
    <t>Shoes</t>
  </si>
  <si>
    <t>Stationery</t>
  </si>
  <si>
    <t>Internet Bill</t>
  </si>
  <si>
    <t>Social Event</t>
  </si>
  <si>
    <t>Takeout</t>
  </si>
  <si>
    <t>Physiotherapy</t>
  </si>
  <si>
    <t>April</t>
  </si>
  <si>
    <t>Bus Pass</t>
  </si>
  <si>
    <t>Gift</t>
  </si>
  <si>
    <t>Streaming Sub.</t>
  </si>
  <si>
    <t>Online Course</t>
  </si>
  <si>
    <t>Cosmetics</t>
  </si>
  <si>
    <t>Metro Fare</t>
  </si>
  <si>
    <t>April Salary</t>
  </si>
  <si>
    <t>Vitamins</t>
  </si>
  <si>
    <t>Book</t>
  </si>
  <si>
    <t>Cab</t>
  </si>
  <si>
    <t>Video Game</t>
  </si>
  <si>
    <t>Checkup</t>
  </si>
  <si>
    <t>Kitchenware</t>
  </si>
  <si>
    <t>Workshop Fee</t>
  </si>
  <si>
    <t>Train Ticket</t>
  </si>
  <si>
    <t>Phone Bill</t>
  </si>
  <si>
    <t>Side Gig Income</t>
  </si>
  <si>
    <t>May</t>
  </si>
  <si>
    <t>Theme Park</t>
  </si>
  <si>
    <t>Plants</t>
  </si>
  <si>
    <t>Software</t>
  </si>
  <si>
    <t>Dinner Out</t>
  </si>
  <si>
    <t>Gadget Accessory</t>
  </si>
  <si>
    <t>Bonus</t>
  </si>
  <si>
    <t>May Salary</t>
  </si>
  <si>
    <t>Tickets</t>
  </si>
  <si>
    <t>Massage</t>
  </si>
  <si>
    <t>Metro</t>
  </si>
  <si>
    <t>Subscription</t>
  </si>
  <si>
    <t>June</t>
  </si>
  <si>
    <t>Online Test</t>
  </si>
  <si>
    <t>Home Stream</t>
  </si>
  <si>
    <t>June Salary</t>
  </si>
  <si>
    <t>Small Purchase</t>
  </si>
  <si>
    <t>Magazine Sub.</t>
  </si>
  <si>
    <t>Online Class</t>
  </si>
  <si>
    <t>Consulting Fee</t>
  </si>
  <si>
    <t>July</t>
  </si>
  <si>
    <t>August</t>
  </si>
  <si>
    <t>September</t>
  </si>
  <si>
    <t>October</t>
  </si>
  <si>
    <t>November</t>
  </si>
  <si>
    <t>December</t>
  </si>
  <si>
    <t>Dec Summary</t>
  </si>
  <si>
    <t>Nov Summary</t>
  </si>
  <si>
    <t>Oct Summary</t>
  </si>
  <si>
    <t>Sep Summary</t>
  </si>
  <si>
    <t xml:space="preserve"> Aug Summary</t>
  </si>
  <si>
    <t>Jul Summary</t>
  </si>
  <si>
    <t>Jun Summary</t>
  </si>
  <si>
    <t>Accessories</t>
  </si>
  <si>
    <t>Train Fare</t>
  </si>
  <si>
    <t>July Salary</t>
  </si>
  <si>
    <t>Home Supplies</t>
  </si>
  <si>
    <t>Dental Visit</t>
  </si>
  <si>
    <t>Project Pay</t>
  </si>
  <si>
    <t>Flight Ticket (Vacation)</t>
  </si>
  <si>
    <t>Luggage</t>
  </si>
  <si>
    <t>Local Travel</t>
  </si>
  <si>
    <t>Museum Entry</t>
  </si>
  <si>
    <t>Restaurant (Vacation)</t>
  </si>
  <si>
    <t>Travel Insurance</t>
  </si>
  <si>
    <t>Souvenirs</t>
  </si>
  <si>
    <t>Intercity Train</t>
  </si>
  <si>
    <t>Activity Fee</t>
  </si>
  <si>
    <t>August Salary</t>
  </si>
  <si>
    <t>Online Tool</t>
  </si>
  <si>
    <t>Tuition Fee</t>
  </si>
  <si>
    <t>Gadget</t>
  </si>
  <si>
    <t>September Salary</t>
  </si>
  <si>
    <t>Performance Bonus</t>
  </si>
  <si>
    <t>Small Gift</t>
  </si>
  <si>
    <t>October Salary</t>
  </si>
  <si>
    <t>Home Needs</t>
  </si>
  <si>
    <t>Online Sub.</t>
  </si>
  <si>
    <t>Small Income</t>
  </si>
  <si>
    <t>November Salary</t>
  </si>
  <si>
    <t>Side Income</t>
  </si>
  <si>
    <t>Holiday Gifts</t>
  </si>
  <si>
    <t>Holiday Party Prep</t>
  </si>
  <si>
    <t>Festive Decor</t>
  </si>
  <si>
    <t>December Salary</t>
  </si>
  <si>
    <t>Party Supplies</t>
  </si>
  <si>
    <t>Last-minute Gifts</t>
  </si>
  <si>
    <t>Holiday Dinner</t>
  </si>
  <si>
    <t>New Year Tickets</t>
  </si>
  <si>
    <t>Year-End Bonus</t>
  </si>
  <si>
    <t>completed</t>
  </si>
  <si>
    <t>Café shop</t>
  </si>
  <si>
    <t>Apr Summary</t>
  </si>
  <si>
    <t>May Summary</t>
  </si>
  <si>
    <t>Strong start — High income and controlled expenses led to solid savings.</t>
  </si>
  <si>
    <t>Stable month — Slight drop in income, but expenses remained balanced with modest savings.</t>
  </si>
  <si>
    <t>Overspent — Expenses exceeded income, resulting in a negative saving.</t>
  </si>
  <si>
    <t>Barely positive — Income and expense were nearly equal, resulting in minimal savings.</t>
  </si>
  <si>
    <t>Overspent — Expenses exceeded income, leading to a small loss.</t>
  </si>
  <si>
    <t>Excellent month — High income and low expenses resulted in strong savings.</t>
  </si>
  <si>
    <t>Overspending alert — Expenses far exceeded income, leading to a significant loss.</t>
  </si>
  <si>
    <t>Slight loss — Expenses slightly exceeded income, resulting in a small negative saving.</t>
  </si>
  <si>
    <t>Balanced month — Income and expenses were nearly equal, resulting in a small saving.</t>
  </si>
  <si>
    <t>Repeat pattern — Same income and expense as September, with identical savings.</t>
  </si>
  <si>
    <t>Loss recorded — Expenses exceeded income significantly, leading to a notable deficit.</t>
  </si>
  <si>
    <t>Positive close — Strong income and controlled expenses led to healthy savings.</t>
  </si>
  <si>
    <t>Annual Income</t>
  </si>
  <si>
    <t>Annual Expense</t>
  </si>
  <si>
    <t>Annual Saving</t>
  </si>
  <si>
    <t>Budget Tracker</t>
  </si>
  <si>
    <t>Pie charts for data visualization</t>
  </si>
  <si>
    <t>Total annual savings</t>
  </si>
  <si>
    <t>Highest and lowest expense months</t>
  </si>
  <si>
    <t>Expense vs. Income ratio</t>
  </si>
  <si>
    <t>Built in Excel using real-world income and expense data.</t>
  </si>
  <si>
    <t>Includes monthly summaries, annual KPIs, and pie charts for spending visualization.</t>
  </si>
  <si>
    <t>Automates savings calculations using formulas and cross-sheet references.</t>
  </si>
  <si>
    <t>Displays annual total income, expenses, and net savings in a professional dashboard layout.</t>
  </si>
  <si>
    <t>Project Overview</t>
  </si>
  <si>
    <t>S.N</t>
  </si>
  <si>
    <t>Project Title</t>
  </si>
  <si>
    <t>Tracks monthly income, expenses, and savings with automated summaries and charts.</t>
  </si>
  <si>
    <t>SUM, MAX, MIN, cell references</t>
  </si>
  <si>
    <t>Key Excel Features Used</t>
  </si>
  <si>
    <t>Insights Generated</t>
  </si>
  <si>
    <t>Project Description</t>
  </si>
  <si>
    <t>Sheet referencing .</t>
  </si>
  <si>
    <t>Budget Tracker (Excel Dashboard)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</si>
</sst>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0"/>
      <name val="Arial Black"/>
      <family val="2"/>
    </font>
    <font>
      <b/>
      <sz val="12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Arial Black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0"/>
      <name val="Arial Black"/>
      <family val="2"/>
    </font>
    <font>
      <sz val="14"/>
      <color theme="1"/>
      <name val="Calibri"/>
      <family val="2"/>
      <scheme val="minor"/>
    </font>
    <font>
      <sz val="18"/>
      <color theme="1"/>
      <name val="Arial Black"/>
      <family val="2"/>
    </font>
    <font>
      <sz val="11"/>
      <color theme="1"/>
      <name val="Arial Black"/>
      <family val="2"/>
    </font>
    <font>
      <sz val="10"/>
      <color theme="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0" fontId="1" fillId="4" borderId="0" xfId="0" applyFont="1" applyFill="1" applyBorder="1"/>
    <xf numFmtId="0" fontId="1" fillId="4" borderId="0" xfId="0" applyNumberFormat="1" applyFont="1" applyFill="1" applyBorder="1"/>
    <xf numFmtId="0" fontId="1" fillId="0" borderId="0" xfId="0" applyFont="1" applyFill="1" applyBorder="1"/>
    <xf numFmtId="14" fontId="0" fillId="0" borderId="0" xfId="0" applyNumberFormat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2" xfId="0" applyFont="1" applyFill="1" applyBorder="1"/>
    <xf numFmtId="0" fontId="1" fillId="4" borderId="2" xfId="0" applyNumberFormat="1" applyFont="1" applyFill="1" applyBorder="1"/>
    <xf numFmtId="0" fontId="1" fillId="4" borderId="5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6" borderId="0" xfId="0" applyFont="1" applyFill="1" applyBorder="1"/>
    <xf numFmtId="0" fontId="1" fillId="6" borderId="0" xfId="0" applyNumberFormat="1" applyFont="1" applyFill="1" applyBorder="1"/>
    <xf numFmtId="0" fontId="0" fillId="6" borderId="0" xfId="0" applyNumberFormat="1" applyFill="1" applyBorder="1"/>
    <xf numFmtId="0" fontId="1" fillId="6" borderId="11" xfId="0" applyFont="1" applyFill="1" applyBorder="1"/>
    <xf numFmtId="0" fontId="1" fillId="6" borderId="11" xfId="0" applyNumberFormat="1" applyFont="1" applyFill="1" applyBorder="1"/>
    <xf numFmtId="0" fontId="1" fillId="6" borderId="8" xfId="0" applyFont="1" applyFill="1" applyBorder="1"/>
    <xf numFmtId="0" fontId="1" fillId="6" borderId="13" xfId="0" applyFont="1" applyFill="1" applyBorder="1"/>
    <xf numFmtId="0" fontId="0" fillId="6" borderId="13" xfId="0" applyFill="1" applyBorder="1"/>
    <xf numFmtId="0" fontId="1" fillId="6" borderId="2" xfId="0" applyFont="1" applyFill="1" applyBorder="1"/>
    <xf numFmtId="0" fontId="5" fillId="5" borderId="0" xfId="0" applyFont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14" fontId="1" fillId="0" borderId="0" xfId="0" applyNumberFormat="1" applyFont="1"/>
    <xf numFmtId="14" fontId="0" fillId="4" borderId="12" xfId="0" applyNumberFormat="1" applyFill="1" applyBorder="1"/>
    <xf numFmtId="0" fontId="0" fillId="4" borderId="0" xfId="0" applyFill="1" applyBorder="1"/>
    <xf numFmtId="0" fontId="0" fillId="4" borderId="13" xfId="0" applyFill="1" applyBorder="1"/>
    <xf numFmtId="14" fontId="1" fillId="4" borderId="7" xfId="0" applyNumberFormat="1" applyFont="1" applyFill="1" applyBorder="1"/>
    <xf numFmtId="0" fontId="1" fillId="4" borderId="2" xfId="0" applyFont="1" applyFill="1" applyBorder="1" applyAlignment="1"/>
    <xf numFmtId="0" fontId="1" fillId="4" borderId="5" xfId="0" applyFont="1" applyFill="1" applyBorder="1" applyAlignment="1"/>
    <xf numFmtId="14" fontId="4" fillId="3" borderId="4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4" fontId="0" fillId="4" borderId="10" xfId="0" applyNumberFormat="1" applyFill="1" applyBorder="1"/>
    <xf numFmtId="0" fontId="0" fillId="4" borderId="11" xfId="0" applyFill="1" applyBorder="1"/>
    <xf numFmtId="0" fontId="0" fillId="4" borderId="8" xfId="0" applyFill="1" applyBorder="1"/>
    <xf numFmtId="14" fontId="4" fillId="3" borderId="10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4" fontId="1" fillId="4" borderId="12" xfId="0" applyNumberFormat="1" applyFont="1" applyFill="1" applyBorder="1"/>
    <xf numFmtId="0" fontId="0" fillId="4" borderId="7" xfId="0" applyNumberFormat="1" applyFill="1" applyBorder="1" applyAlignment="1">
      <alignment vertical="center"/>
    </xf>
    <xf numFmtId="0" fontId="0" fillId="4" borderId="2" xfId="0" applyNumberFormat="1" applyFill="1" applyBorder="1" applyAlignment="1">
      <alignment vertical="center"/>
    </xf>
    <xf numFmtId="0" fontId="0" fillId="4" borderId="5" xfId="0" applyNumberFormat="1" applyFill="1" applyBorder="1" applyAlignment="1">
      <alignment vertical="center"/>
    </xf>
    <xf numFmtId="0" fontId="9" fillId="0" borderId="0" xfId="0" applyFont="1"/>
    <xf numFmtId="0" fontId="0" fillId="7" borderId="0" xfId="0" applyFill="1"/>
    <xf numFmtId="0" fontId="0" fillId="7" borderId="0" xfId="0" applyFill="1" applyBorder="1"/>
    <xf numFmtId="0" fontId="0" fillId="0" borderId="0" xfId="0" applyFill="1"/>
    <xf numFmtId="0" fontId="0" fillId="4" borderId="4" xfId="0" applyNumberFormat="1" applyFill="1" applyBorder="1" applyAlignment="1">
      <alignment vertical="center"/>
    </xf>
    <xf numFmtId="0" fontId="0" fillId="4" borderId="14" xfId="0" applyNumberFormat="1" applyFill="1" applyBorder="1" applyAlignment="1">
      <alignment vertical="center"/>
    </xf>
    <xf numFmtId="0" fontId="0" fillId="4" borderId="3" xfId="0" applyNumberFormat="1" applyFill="1" applyBorder="1" applyAlignment="1">
      <alignment vertical="center"/>
    </xf>
    <xf numFmtId="0" fontId="0" fillId="7" borderId="0" xfId="0" applyNumberFormat="1" applyFill="1"/>
    <xf numFmtId="0" fontId="0" fillId="0" borderId="0" xfId="0" applyNumberFormat="1" applyFill="1"/>
    <xf numFmtId="0" fontId="0" fillId="7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7" borderId="0" xfId="0" applyFill="1" applyAlignment="1"/>
    <xf numFmtId="0" fontId="0" fillId="0" borderId="0" xfId="0" applyFill="1" applyAlignment="1"/>
    <xf numFmtId="0" fontId="0" fillId="0" borderId="0" xfId="0" applyAlignment="1"/>
    <xf numFmtId="0" fontId="0" fillId="7" borderId="0" xfId="0" applyFont="1" applyFill="1" applyAlignment="1">
      <alignment vertical="center" wrapText="1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10" borderId="10" xfId="0" applyFill="1" applyBorder="1"/>
    <xf numFmtId="0" fontId="0" fillId="10" borderId="11" xfId="0" applyFill="1" applyBorder="1"/>
    <xf numFmtId="0" fontId="0" fillId="10" borderId="11" xfId="0" applyFill="1" applyBorder="1" applyAlignment="1">
      <alignment wrapText="1"/>
    </xf>
    <xf numFmtId="0" fontId="0" fillId="10" borderId="8" xfId="0" applyFill="1" applyBorder="1"/>
    <xf numFmtId="0" fontId="0" fillId="10" borderId="12" xfId="0" applyFill="1" applyBorder="1"/>
    <xf numFmtId="0" fontId="9" fillId="10" borderId="0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 wrapText="1"/>
    </xf>
    <xf numFmtId="0" fontId="0" fillId="10" borderId="13" xfId="0" applyFill="1" applyBorder="1"/>
    <xf numFmtId="0" fontId="7" fillId="10" borderId="0" xfId="0" applyFont="1" applyFill="1" applyBorder="1"/>
    <xf numFmtId="0" fontId="0" fillId="10" borderId="0" xfId="0" applyFill="1" applyBorder="1" applyAlignment="1">
      <alignment wrapText="1"/>
    </xf>
    <xf numFmtId="0" fontId="0" fillId="10" borderId="0" xfId="0" applyFill="1" applyBorder="1" applyAlignment="1">
      <alignment horizontal="left" vertical="center" indent="1"/>
    </xf>
    <xf numFmtId="0" fontId="0" fillId="10" borderId="0" xfId="0" applyFill="1" applyBorder="1" applyAlignment="1">
      <alignment horizontal="left" vertical="center" wrapText="1"/>
    </xf>
    <xf numFmtId="0" fontId="7" fillId="10" borderId="0" xfId="0" applyFont="1" applyFill="1" applyBorder="1" applyAlignment="1">
      <alignment horizontal="left" vertical="center" indent="1"/>
    </xf>
    <xf numFmtId="0" fontId="0" fillId="10" borderId="0" xfId="0" applyFont="1" applyFill="1" applyBorder="1" applyAlignment="1">
      <alignment horizontal="left" vertical="center" indent="1"/>
    </xf>
    <xf numFmtId="0" fontId="0" fillId="10" borderId="0" xfId="0" applyFill="1" applyBorder="1"/>
    <xf numFmtId="0" fontId="14" fillId="10" borderId="0" xfId="0" applyFont="1" applyFill="1" applyBorder="1" applyAlignment="1">
      <alignment horizontal="left" vertical="center" indent="2"/>
    </xf>
    <xf numFmtId="0" fontId="0" fillId="10" borderId="0" xfId="0" applyFill="1" applyBorder="1" applyAlignment="1">
      <alignment horizontal="left" vertical="center" indent="2"/>
    </xf>
    <xf numFmtId="0" fontId="0" fillId="10" borderId="7" xfId="0" applyFill="1" applyBorder="1"/>
    <xf numFmtId="0" fontId="0" fillId="10" borderId="2" xfId="0" applyFill="1" applyBorder="1"/>
    <xf numFmtId="0" fontId="0" fillId="10" borderId="2" xfId="0" applyFill="1" applyBorder="1" applyAlignment="1">
      <alignment horizontal="left" vertical="center" indent="2"/>
    </xf>
    <xf numFmtId="0" fontId="0" fillId="10" borderId="2" xfId="0" applyFill="1" applyBorder="1" applyAlignment="1">
      <alignment wrapText="1"/>
    </xf>
    <xf numFmtId="0" fontId="0" fillId="10" borderId="5" xfId="0" applyFill="1" applyBorder="1"/>
    <xf numFmtId="0" fontId="7" fillId="10" borderId="0" xfId="0" applyFont="1" applyFill="1" applyBorder="1" applyAlignment="1">
      <alignment vertical="center"/>
    </xf>
    <xf numFmtId="0" fontId="7" fillId="10" borderId="0" xfId="0" applyFont="1" applyFill="1" applyBorder="1" applyAlignment="1">
      <alignment vertical="top"/>
    </xf>
    <xf numFmtId="0" fontId="7" fillId="10" borderId="0" xfId="0" applyFont="1" applyFill="1" applyBorder="1" applyAlignment="1">
      <alignment horizontal="right" vertical="top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14" fontId="5" fillId="5" borderId="10" xfId="0" applyNumberFormat="1" applyFont="1" applyFill="1" applyBorder="1" applyAlignment="1">
      <alignment horizontal="center" vertical="center"/>
    </xf>
    <xf numFmtId="14" fontId="5" fillId="5" borderId="12" xfId="0" applyNumberFormat="1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6" borderId="2" xfId="0" applyNumberFormat="1" applyFill="1" applyBorder="1" applyAlignment="1">
      <alignment horizontal="center"/>
    </xf>
    <xf numFmtId="0" fontId="0" fillId="6" borderId="5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none"/>
              <a:t>Jan Summary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A5-4B3D-A9DF-A145A34D33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A5-4B3D-A9DF-A145A34D33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A5-4B3D-A9DF-A145A34D33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A5-4B3D-A9DF-A145A34D33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A5-4B3D-A9DF-A145A34D331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EA5-4B3D-A9DF-A145A34D331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EA5-4B3D-A9DF-A145A34D33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Dashboard!$B$8:$H$9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Dashboard!$B$10:$H$10</c:f>
              <c:numCache>
                <c:formatCode>General</c:formatCode>
                <c:ptCount val="7"/>
                <c:pt idx="0">
                  <c:v>46640</c:v>
                </c:pt>
                <c:pt idx="1">
                  <c:v>44937</c:v>
                </c:pt>
                <c:pt idx="2">
                  <c:v>40000</c:v>
                </c:pt>
                <c:pt idx="3">
                  <c:v>12000</c:v>
                </c:pt>
                <c:pt idx="4">
                  <c:v>50</c:v>
                </c:pt>
                <c:pt idx="5">
                  <c:v>114</c:v>
                </c:pt>
                <c:pt idx="6">
                  <c:v>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A5-4B3D-A9DF-A145A34D33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 Summary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0C-4AC0-B9FE-60DA0FFA25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0C-4AC0-B9FE-60DA0FFA25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0C-4AC0-B9FE-60DA0FFA25E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0C-4AC0-B9FE-60DA0FFA25E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0C-4AC0-B9FE-60DA0FFA25E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C0C-4AC0-B9FE-60DA0FFA25E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C0C-4AC0-B9FE-60DA0FFA25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Dashboard!$J$8:$P$9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Dashboard!$J$10:$P$10</c:f>
              <c:numCache>
                <c:formatCode>General</c:formatCode>
                <c:ptCount val="7"/>
                <c:pt idx="0">
                  <c:v>41101</c:v>
                </c:pt>
                <c:pt idx="1">
                  <c:v>39428</c:v>
                </c:pt>
                <c:pt idx="2">
                  <c:v>30000</c:v>
                </c:pt>
                <c:pt idx="3">
                  <c:v>2335</c:v>
                </c:pt>
                <c:pt idx="4">
                  <c:v>50</c:v>
                </c:pt>
                <c:pt idx="5">
                  <c:v>41</c:v>
                </c:pt>
                <c:pt idx="6">
                  <c:v>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C0C-4AC0-B9FE-60DA0FFA25E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 Summary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41-48E2-8FB2-2DE1E10EC31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41-48E2-8FB2-2DE1E10EC31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41-48E2-8FB2-2DE1E10EC31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41-48E2-8FB2-2DE1E10EC31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41-48E2-8FB2-2DE1E10EC31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841-48E2-8FB2-2DE1E10EC31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841-48E2-8FB2-2DE1E10EC3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Dashboard!$R$8:$X$9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Dashboard!$R$10:$X$10</c:f>
              <c:numCache>
                <c:formatCode>General</c:formatCode>
                <c:ptCount val="7"/>
                <c:pt idx="0">
                  <c:v>34500</c:v>
                </c:pt>
                <c:pt idx="1">
                  <c:v>71300</c:v>
                </c:pt>
                <c:pt idx="2">
                  <c:v>31500</c:v>
                </c:pt>
                <c:pt idx="3">
                  <c:v>15000</c:v>
                </c:pt>
                <c:pt idx="4">
                  <c:v>3000</c:v>
                </c:pt>
                <c:pt idx="5">
                  <c:v>150</c:v>
                </c:pt>
                <c:pt idx="6">
                  <c:v>-36800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841-48E2-8FB2-2DE1E10EC3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</a:t>
            </a:r>
            <a:r>
              <a:rPr lang="en-US" baseline="0"/>
              <a:t> Summary</a:t>
            </a:r>
            <a:endParaRPr lang="en-US"/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29-4DCB-8670-77394F7F50C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29-4DCB-8670-77394F7F50C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29-4DCB-8670-77394F7F50C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E29-4DCB-8670-77394F7F50C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E29-4DCB-8670-77394F7F50C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E29-4DCB-8670-77394F7F50C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E29-4DCB-8670-77394F7F50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Dashboard!$Z$8:$AF$9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Dashboard!$Z$10:$AF$10</c:f>
              <c:numCache>
                <c:formatCode>General</c:formatCode>
                <c:ptCount val="7"/>
                <c:pt idx="0">
                  <c:v>50670</c:v>
                </c:pt>
                <c:pt idx="1">
                  <c:v>48500</c:v>
                </c:pt>
                <c:pt idx="2">
                  <c:v>30500</c:v>
                </c:pt>
                <c:pt idx="3">
                  <c:v>15000</c:v>
                </c:pt>
                <c:pt idx="4">
                  <c:v>600</c:v>
                </c:pt>
                <c:pt idx="5">
                  <c:v>100</c:v>
                </c:pt>
                <c:pt idx="6">
                  <c:v>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E29-4DCB-8670-77394F7F50C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Summary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F1-4662-9728-E9BE5A2A82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F1-4662-9728-E9BE5A2A82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F1-4662-9728-E9BE5A2A82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FF1-4662-9728-E9BE5A2A82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FF1-4662-9728-E9BE5A2A82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FF1-4662-9728-E9BE5A2A82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FF1-4662-9728-E9BE5A2A82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Dashboard!$B$33:$H$34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Dashboard!$B$35:$H$35</c:f>
              <c:numCache>
                <c:formatCode>General</c:formatCode>
                <c:ptCount val="7"/>
                <c:pt idx="0">
                  <c:v>53020</c:v>
                </c:pt>
                <c:pt idx="1">
                  <c:v>52100</c:v>
                </c:pt>
                <c:pt idx="2">
                  <c:v>53020</c:v>
                </c:pt>
                <c:pt idx="3">
                  <c:v>52100</c:v>
                </c:pt>
                <c:pt idx="4">
                  <c:v>7020</c:v>
                </c:pt>
                <c:pt idx="5">
                  <c:v>100</c:v>
                </c:pt>
                <c:pt idx="6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FF1-4662-9728-E9BE5A2A82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Jun</a:t>
            </a:r>
            <a:r>
              <a:rPr lang="en-US" baseline="0"/>
              <a:t> Summary</a:t>
            </a:r>
            <a:endParaRPr lang="en-US"/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5B-4E48-B234-307D13D488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5B-4E48-B234-307D13D488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5B-4E48-B234-307D13D488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5B-4E48-B234-307D13D488F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5B-4E48-B234-307D13D488F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45B-4E48-B234-307D13D488F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45B-4E48-B234-307D13D488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Dashboard!$J$33:$P$34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Dashboard!$J$35:$P$35</c:f>
              <c:numCache>
                <c:formatCode>General</c:formatCode>
                <c:ptCount val="7"/>
                <c:pt idx="0">
                  <c:v>36000</c:v>
                </c:pt>
                <c:pt idx="1">
                  <c:v>39400</c:v>
                </c:pt>
                <c:pt idx="2">
                  <c:v>30000</c:v>
                </c:pt>
                <c:pt idx="3">
                  <c:v>15000</c:v>
                </c:pt>
                <c:pt idx="4">
                  <c:v>6000</c:v>
                </c:pt>
                <c:pt idx="5">
                  <c:v>100</c:v>
                </c:pt>
                <c:pt idx="6">
                  <c:v>-3400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5B-4E48-B234-307D13D488F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Jul Summary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F0-4B3E-BD2E-D35BEEFC8A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F0-4B3E-BD2E-D35BEEFC8AB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F0-4B3E-BD2E-D35BEEFC8AB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F0-4B3E-BD2E-D35BEEFC8AB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F0-4B3E-BD2E-D35BEEFC8AB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9F0-4B3E-BD2E-D35BEEFC8AB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9F0-4B3E-BD2E-D35BEEFC8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Dashboard!$R$33:$X$34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Dashboard!$R$35:$X$35</c:f>
              <c:numCache>
                <c:formatCode>General</c:formatCode>
                <c:ptCount val="7"/>
                <c:pt idx="0">
                  <c:v>123550</c:v>
                </c:pt>
                <c:pt idx="1">
                  <c:v>54100</c:v>
                </c:pt>
                <c:pt idx="2">
                  <c:v>80050</c:v>
                </c:pt>
                <c:pt idx="3">
                  <c:v>15000</c:v>
                </c:pt>
                <c:pt idx="4">
                  <c:v>3000</c:v>
                </c:pt>
                <c:pt idx="5">
                  <c:v>150</c:v>
                </c:pt>
                <c:pt idx="6">
                  <c:v>69450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F0-4B3E-BD2E-D35BEEFC8A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Aug Summary</a:t>
            </a:r>
          </a:p>
        </c:rich>
      </c:tx>
      <c:layout/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A2-4F5E-896A-C3471D1694F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A2-4F5E-896A-C3471D1694F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A2-4F5E-896A-C3471D1694F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A2-4F5E-896A-C3471D1694F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CA2-4F5E-896A-C3471D1694F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CA2-4F5E-896A-C3471D1694F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CA2-4F5E-896A-C3471D1694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Dashboard!$Z$33:$AF$34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Dashboard!$Z$35:$AF$35</c:f>
              <c:numCache>
                <c:formatCode>General</c:formatCode>
                <c:ptCount val="7"/>
                <c:pt idx="0">
                  <c:v>30500</c:v>
                </c:pt>
                <c:pt idx="1">
                  <c:v>72200</c:v>
                </c:pt>
                <c:pt idx="2">
                  <c:v>30500</c:v>
                </c:pt>
                <c:pt idx="3">
                  <c:v>15000</c:v>
                </c:pt>
                <c:pt idx="4">
                  <c:v>30500</c:v>
                </c:pt>
                <c:pt idx="5">
                  <c:v>400</c:v>
                </c:pt>
                <c:pt idx="6">
                  <c:v>-41700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CA2-4F5E-896A-C3471D1694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 Summary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48-4F3A-B6E0-5E35BCB0D6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48-4F3A-B6E0-5E35BCB0D65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48-4F3A-B6E0-5E35BCB0D65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048-4F3A-B6E0-5E35BCB0D65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048-4F3A-B6E0-5E35BCB0D65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048-4F3A-B6E0-5E35BCB0D65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048-4F3A-B6E0-5E35BCB0D6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Dashboard!$B$58:$H$59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Dashboard!$B$60:$H$60</c:f>
              <c:numCache>
                <c:formatCode>General</c:formatCode>
                <c:ptCount val="7"/>
                <c:pt idx="0">
                  <c:v>67980</c:v>
                </c:pt>
                <c:pt idx="1">
                  <c:v>67980</c:v>
                </c:pt>
                <c:pt idx="2">
                  <c:v>31000</c:v>
                </c:pt>
                <c:pt idx="3">
                  <c:v>15000</c:v>
                </c:pt>
                <c:pt idx="4">
                  <c:v>900</c:v>
                </c:pt>
                <c:pt idx="5">
                  <c:v>100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048-4F3A-B6E0-5E35BCB0D65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Oct</a:t>
            </a:r>
            <a:r>
              <a:rPr lang="en-US" baseline="0"/>
              <a:t> Summary</a:t>
            </a:r>
            <a:endParaRPr lang="en-US"/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17-4E56-99CE-D407486F0C8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17-4E56-99CE-D407486F0C8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17-4E56-99CE-D407486F0C8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17-4E56-99CE-D407486F0C8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717-4E56-99CE-D407486F0C8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717-4E56-99CE-D407486F0C8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717-4E56-99CE-D407486F0C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Dashboard!$J$58:$P$59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Dashboard!$J$60:$P$60</c:f>
              <c:numCache>
                <c:formatCode>General</c:formatCode>
                <c:ptCount val="7"/>
                <c:pt idx="0">
                  <c:v>57530</c:v>
                </c:pt>
                <c:pt idx="1">
                  <c:v>40190</c:v>
                </c:pt>
                <c:pt idx="2">
                  <c:v>28000</c:v>
                </c:pt>
                <c:pt idx="3">
                  <c:v>5000</c:v>
                </c:pt>
                <c:pt idx="4">
                  <c:v>3000</c:v>
                </c:pt>
                <c:pt idx="5">
                  <c:v>150</c:v>
                </c:pt>
                <c:pt idx="6">
                  <c:v>17340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717-4E56-99CE-D407486F0C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 Summary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61-421C-9790-FFC15FF0F7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61-421C-9790-FFC15FF0F7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61-421C-9790-FFC15FF0F77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61-421C-9790-FFC15FF0F77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F61-421C-9790-FFC15FF0F77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F61-421C-9790-FFC15FF0F77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F61-421C-9790-FFC15FF0F7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Dashboard!$R$58:$X$59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Dashboard!$R$60:$X$60</c:f>
              <c:numCache>
                <c:formatCode>General</c:formatCode>
                <c:ptCount val="7"/>
                <c:pt idx="0">
                  <c:v>42000</c:v>
                </c:pt>
                <c:pt idx="1">
                  <c:v>55250</c:v>
                </c:pt>
                <c:pt idx="2">
                  <c:v>31500</c:v>
                </c:pt>
                <c:pt idx="3">
                  <c:v>15000</c:v>
                </c:pt>
                <c:pt idx="4">
                  <c:v>5000</c:v>
                </c:pt>
                <c:pt idx="5">
                  <c:v>100</c:v>
                </c:pt>
                <c:pt idx="6">
                  <c:v>-13250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61-421C-9790-FFC15FF0F77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</a:t>
            </a:r>
            <a:r>
              <a:rPr lang="en-US" baseline="0"/>
              <a:t> Summary</a:t>
            </a:r>
            <a:endParaRPr lang="en-US"/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BF-4961-8525-D6E9C7310DF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BF-4961-8525-D6E9C7310DF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BF-4961-8525-D6E9C7310DF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BF-4961-8525-D6E9C7310DF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BF-4961-8525-D6E9C7310DF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2BF-4961-8525-D6E9C7310DF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2BF-4961-8525-D6E9C7310D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Dashboard!$Z$58:$AF$59</c:f>
              <c:multiLvlStrCache>
                <c:ptCount val="7"/>
                <c:lvl>
                  <c:pt idx="2">
                    <c:v>Income</c:v>
                  </c:pt>
                  <c:pt idx="3">
                    <c:v>Expense</c:v>
                  </c:pt>
                  <c:pt idx="4">
                    <c:v>Income</c:v>
                  </c:pt>
                  <c:pt idx="5">
                    <c:v>Expense</c:v>
                  </c:pt>
                </c:lvl>
                <c:lvl>
                  <c:pt idx="0">
                    <c:v>Income</c:v>
                  </c:pt>
                  <c:pt idx="1">
                    <c:v>Expense</c:v>
                  </c:pt>
                  <c:pt idx="2">
                    <c:v>Max</c:v>
                  </c:pt>
                  <c:pt idx="4">
                    <c:v>Min</c:v>
                  </c:pt>
                  <c:pt idx="6">
                    <c:v>Saving</c:v>
                  </c:pt>
                </c:lvl>
              </c:multiLvlStrCache>
            </c:multiLvlStrRef>
          </c:cat>
          <c:val>
            <c:numRef>
              <c:f>Dashboard!$Z$60:$AF$60</c:f>
              <c:numCache>
                <c:formatCode>General</c:formatCode>
                <c:ptCount val="7"/>
                <c:pt idx="0">
                  <c:v>73200</c:v>
                </c:pt>
                <c:pt idx="1">
                  <c:v>67450</c:v>
                </c:pt>
                <c:pt idx="2">
                  <c:v>32000</c:v>
                </c:pt>
                <c:pt idx="3">
                  <c:v>8000</c:v>
                </c:pt>
                <c:pt idx="4">
                  <c:v>1200</c:v>
                </c:pt>
                <c:pt idx="5">
                  <c:v>500</c:v>
                </c:pt>
                <c:pt idx="6">
                  <c:v>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2BF-4961-8525-D6E9C7310D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14</xdr:row>
      <xdr:rowOff>188119</xdr:rowOff>
    </xdr:from>
    <xdr:to>
      <xdr:col>8</xdr:col>
      <xdr:colOff>0</xdr:colOff>
      <xdr:row>29</xdr:row>
      <xdr:rowOff>73819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11906</xdr:colOff>
      <xdr:row>14</xdr:row>
      <xdr:rowOff>176212</xdr:rowOff>
    </xdr:from>
    <xdr:to>
      <xdr:col>16</xdr:col>
      <xdr:colOff>0</xdr:colOff>
      <xdr:row>29</xdr:row>
      <xdr:rowOff>61912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23812</xdr:colOff>
      <xdr:row>15</xdr:row>
      <xdr:rowOff>9525</xdr:rowOff>
    </xdr:from>
    <xdr:to>
      <xdr:col>24</xdr:col>
      <xdr:colOff>0</xdr:colOff>
      <xdr:row>29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21164</xdr:colOff>
      <xdr:row>15</xdr:row>
      <xdr:rowOff>4234</xdr:rowOff>
    </xdr:from>
    <xdr:to>
      <xdr:col>31</xdr:col>
      <xdr:colOff>793749</xdr:colOff>
      <xdr:row>29</xdr:row>
      <xdr:rowOff>80434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8</xdr:col>
      <xdr:colOff>0</xdr:colOff>
      <xdr:row>54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6349</xdr:colOff>
      <xdr:row>40</xdr:row>
      <xdr:rowOff>0</xdr:rowOff>
    </xdr:from>
    <xdr:to>
      <xdr:col>15</xdr:col>
      <xdr:colOff>793750</xdr:colOff>
      <xdr:row>54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609599</xdr:colOff>
      <xdr:row>39</xdr:row>
      <xdr:rowOff>180975</xdr:rowOff>
    </xdr:from>
    <xdr:to>
      <xdr:col>24</xdr:col>
      <xdr:colOff>9524</xdr:colOff>
      <xdr:row>54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9525</xdr:colOff>
      <xdr:row>40</xdr:row>
      <xdr:rowOff>0</xdr:rowOff>
    </xdr:from>
    <xdr:to>
      <xdr:col>32</xdr:col>
      <xdr:colOff>9525</xdr:colOff>
      <xdr:row>54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9524</xdr:colOff>
      <xdr:row>65</xdr:row>
      <xdr:rowOff>9525</xdr:rowOff>
    </xdr:from>
    <xdr:to>
      <xdr:col>8</xdr:col>
      <xdr:colOff>0</xdr:colOff>
      <xdr:row>79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609599</xdr:colOff>
      <xdr:row>65</xdr:row>
      <xdr:rowOff>9525</xdr:rowOff>
    </xdr:from>
    <xdr:to>
      <xdr:col>16</xdr:col>
      <xdr:colOff>9524</xdr:colOff>
      <xdr:row>79</xdr:row>
      <xdr:rowOff>85725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0</xdr:colOff>
      <xdr:row>65</xdr:row>
      <xdr:rowOff>9525</xdr:rowOff>
    </xdr:from>
    <xdr:to>
      <xdr:col>23</xdr:col>
      <xdr:colOff>793750</xdr:colOff>
      <xdr:row>79</xdr:row>
      <xdr:rowOff>85725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6349</xdr:colOff>
      <xdr:row>64</xdr:row>
      <xdr:rowOff>180975</xdr:rowOff>
    </xdr:from>
    <xdr:to>
      <xdr:col>31</xdr:col>
      <xdr:colOff>793750</xdr:colOff>
      <xdr:row>79</xdr:row>
      <xdr:rowOff>66675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29"/>
  <sheetViews>
    <sheetView workbookViewId="0">
      <selection activeCell="G11" sqref="G11"/>
    </sheetView>
  </sheetViews>
  <sheetFormatPr defaultRowHeight="15"/>
  <cols>
    <col min="1" max="1" width="3.7109375" customWidth="1"/>
    <col min="2" max="2" width="5.140625" bestFit="1" customWidth="1"/>
    <col min="3" max="3" width="22.85546875" bestFit="1" customWidth="1"/>
    <col min="4" max="4" width="50.28515625" style="62" customWidth="1"/>
    <col min="5" max="5" width="4.7109375" customWidth="1"/>
  </cols>
  <sheetData>
    <row r="1" spans="1:5">
      <c r="A1" s="70"/>
      <c r="B1" s="71"/>
      <c r="C1" s="71"/>
      <c r="D1" s="72"/>
      <c r="E1" s="73"/>
    </row>
    <row r="2" spans="1:5" ht="18.75">
      <c r="A2" s="74"/>
      <c r="B2" s="75" t="s">
        <v>232</v>
      </c>
      <c r="C2" s="75" t="s">
        <v>231</v>
      </c>
      <c r="D2" s="76" t="s">
        <v>2</v>
      </c>
      <c r="E2" s="77"/>
    </row>
    <row r="3" spans="1:5">
      <c r="A3" s="74"/>
      <c r="B3" s="92">
        <v>1</v>
      </c>
      <c r="C3" s="78" t="s">
        <v>233</v>
      </c>
      <c r="D3" s="79" t="s">
        <v>240</v>
      </c>
      <c r="E3" s="77"/>
    </row>
    <row r="4" spans="1:5" ht="30">
      <c r="A4" s="74"/>
      <c r="B4" s="92"/>
      <c r="C4" s="78" t="s">
        <v>2</v>
      </c>
      <c r="D4" s="79" t="s">
        <v>234</v>
      </c>
      <c r="E4" s="77"/>
    </row>
    <row r="5" spans="1:5">
      <c r="A5" s="74"/>
      <c r="B5" s="92"/>
      <c r="C5" s="78" t="s">
        <v>236</v>
      </c>
      <c r="D5" s="79" t="s">
        <v>235</v>
      </c>
      <c r="E5" s="77"/>
    </row>
    <row r="6" spans="1:5">
      <c r="A6" s="74"/>
      <c r="B6" s="92"/>
      <c r="C6" s="80"/>
      <c r="D6" s="81" t="s">
        <v>223</v>
      </c>
      <c r="E6" s="77"/>
    </row>
    <row r="7" spans="1:5">
      <c r="A7" s="74"/>
      <c r="B7" s="92"/>
      <c r="C7" s="82"/>
      <c r="D7" s="81" t="s">
        <v>239</v>
      </c>
      <c r="E7" s="77"/>
    </row>
    <row r="8" spans="1:5">
      <c r="A8" s="74"/>
      <c r="B8" s="92"/>
      <c r="C8" s="78" t="s">
        <v>237</v>
      </c>
      <c r="D8" s="81" t="s">
        <v>224</v>
      </c>
      <c r="E8" s="77"/>
    </row>
    <row r="9" spans="1:5">
      <c r="A9" s="74"/>
      <c r="B9" s="92"/>
      <c r="C9" s="83"/>
      <c r="D9" s="81" t="s">
        <v>225</v>
      </c>
      <c r="E9" s="77"/>
    </row>
    <row r="10" spans="1:5">
      <c r="A10" s="74"/>
      <c r="B10" s="92"/>
      <c r="C10" s="80"/>
      <c r="D10" s="81" t="s">
        <v>226</v>
      </c>
      <c r="E10" s="77"/>
    </row>
    <row r="11" spans="1:5">
      <c r="A11" s="74"/>
      <c r="B11" s="84"/>
      <c r="C11" s="80"/>
      <c r="D11" s="79"/>
      <c r="E11" s="77"/>
    </row>
    <row r="12" spans="1:5" ht="30">
      <c r="A12" s="74"/>
      <c r="B12" s="94">
        <v>2</v>
      </c>
      <c r="C12" s="93" t="s">
        <v>238</v>
      </c>
      <c r="D12" s="81" t="s">
        <v>227</v>
      </c>
      <c r="E12" s="77"/>
    </row>
    <row r="13" spans="1:5" ht="30">
      <c r="A13" s="74"/>
      <c r="B13" s="84"/>
      <c r="C13" s="85"/>
      <c r="D13" s="81" t="s">
        <v>228</v>
      </c>
      <c r="E13" s="77"/>
    </row>
    <row r="14" spans="1:5" ht="30">
      <c r="A14" s="74"/>
      <c r="B14" s="84"/>
      <c r="C14" s="86"/>
      <c r="D14" s="81" t="s">
        <v>229</v>
      </c>
      <c r="E14" s="77"/>
    </row>
    <row r="15" spans="1:5" ht="30">
      <c r="A15" s="74"/>
      <c r="B15" s="84"/>
      <c r="C15" s="86"/>
      <c r="D15" s="81" t="s">
        <v>230</v>
      </c>
      <c r="E15" s="77"/>
    </row>
    <row r="16" spans="1:5">
      <c r="A16" s="74"/>
      <c r="B16" s="84"/>
      <c r="C16" s="86"/>
      <c r="D16" s="79"/>
      <c r="E16" s="77"/>
    </row>
    <row r="17" spans="1:5">
      <c r="A17" s="87"/>
      <c r="B17" s="88"/>
      <c r="C17" s="89"/>
      <c r="D17" s="90"/>
      <c r="E17" s="91"/>
    </row>
    <row r="18" spans="1:5">
      <c r="C18" s="69"/>
    </row>
    <row r="19" spans="1:5">
      <c r="C19" s="69"/>
    </row>
    <row r="20" spans="1:5">
      <c r="C20" s="67"/>
    </row>
    <row r="21" spans="1:5">
      <c r="C21" s="68"/>
    </row>
    <row r="22" spans="1:5">
      <c r="C22" s="67"/>
    </row>
    <row r="23" spans="1:5">
      <c r="C23" s="67"/>
    </row>
    <row r="24" spans="1:5">
      <c r="C24" s="69"/>
    </row>
    <row r="25" spans="1:5">
      <c r="C25" s="69"/>
    </row>
    <row r="26" spans="1:5">
      <c r="C26" s="69"/>
    </row>
    <row r="27" spans="1:5">
      <c r="C27" s="69"/>
    </row>
    <row r="28" spans="1:5">
      <c r="C28" s="69"/>
    </row>
    <row r="29" spans="1:5">
      <c r="C29" s="6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J84"/>
  <sheetViews>
    <sheetView topLeftCell="A32" zoomScale="90" zoomScaleNormal="90" workbookViewId="0">
      <selection activeCell="J11" sqref="J11:P14"/>
    </sheetView>
  </sheetViews>
  <sheetFormatPr defaultRowHeight="15"/>
  <cols>
    <col min="2" max="2" width="13" bestFit="1" customWidth="1"/>
    <col min="3" max="3" width="14.42578125" bestFit="1" customWidth="1"/>
    <col min="4" max="4" width="13" bestFit="1" customWidth="1"/>
    <col min="5" max="5" width="14.42578125" bestFit="1" customWidth="1"/>
    <col min="6" max="6" width="13" bestFit="1" customWidth="1"/>
    <col min="7" max="7" width="14.42578125" bestFit="1" customWidth="1"/>
    <col min="8" max="8" width="12.140625" bestFit="1" customWidth="1"/>
    <col min="10" max="10" width="13" bestFit="1" customWidth="1"/>
    <col min="11" max="11" width="14.42578125" bestFit="1" customWidth="1"/>
    <col min="12" max="12" width="13" bestFit="1" customWidth="1"/>
    <col min="13" max="13" width="14.42578125" bestFit="1" customWidth="1"/>
    <col min="14" max="14" width="13" bestFit="1" customWidth="1"/>
    <col min="15" max="15" width="14.42578125" bestFit="1" customWidth="1"/>
    <col min="16" max="16" width="12.140625" bestFit="1" customWidth="1"/>
    <col min="18" max="18" width="13" bestFit="1" customWidth="1"/>
    <col min="19" max="19" width="14.42578125" bestFit="1" customWidth="1"/>
    <col min="20" max="20" width="13" bestFit="1" customWidth="1"/>
    <col min="21" max="21" width="14.42578125" bestFit="1" customWidth="1"/>
    <col min="22" max="22" width="13" bestFit="1" customWidth="1"/>
    <col min="23" max="23" width="14.42578125" bestFit="1" customWidth="1"/>
    <col min="24" max="24" width="12.140625" bestFit="1" customWidth="1"/>
    <col min="26" max="26" width="13" bestFit="1" customWidth="1"/>
    <col min="27" max="27" width="14.42578125" bestFit="1" customWidth="1"/>
    <col min="28" max="28" width="13" bestFit="1" customWidth="1"/>
    <col min="29" max="29" width="14.42578125" bestFit="1" customWidth="1"/>
    <col min="30" max="30" width="13.7109375" bestFit="1" customWidth="1"/>
    <col min="31" max="31" width="14.42578125" bestFit="1" customWidth="1"/>
    <col min="32" max="32" width="12.140625" bestFit="1" customWidth="1"/>
    <col min="34" max="35" width="9.140625" style="54"/>
  </cols>
  <sheetData>
    <row r="1" spans="1:33" ht="30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</row>
    <row r="2" spans="1:33" ht="65.25" customHeight="1">
      <c r="A2" s="52"/>
      <c r="B2" s="106" t="s">
        <v>222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52"/>
    </row>
    <row r="3" spans="1:33">
      <c r="A3" s="52"/>
      <c r="B3" s="66"/>
      <c r="C3" s="66"/>
      <c r="D3" s="66"/>
      <c r="E3" s="66"/>
      <c r="F3" s="66"/>
      <c r="G3" s="66"/>
      <c r="H3" s="52"/>
      <c r="I3" s="52"/>
      <c r="J3" s="52"/>
      <c r="K3" s="66"/>
      <c r="L3" s="107" t="s">
        <v>219</v>
      </c>
      <c r="M3" s="108"/>
      <c r="N3" s="108"/>
      <c r="O3" s="52"/>
      <c r="P3" s="107" t="s">
        <v>220</v>
      </c>
      <c r="Q3" s="108"/>
      <c r="R3" s="108"/>
      <c r="S3" s="66"/>
      <c r="T3" s="107" t="s">
        <v>221</v>
      </c>
      <c r="U3" s="108"/>
      <c r="V3" s="108"/>
      <c r="W3" s="66"/>
      <c r="X3" s="52"/>
      <c r="Y3" s="52"/>
      <c r="Z3" s="52"/>
      <c r="AA3" s="66"/>
      <c r="AB3" s="66"/>
      <c r="AC3" s="66"/>
      <c r="AD3" s="66"/>
      <c r="AE3" s="66"/>
      <c r="AF3" s="66"/>
      <c r="AG3" s="52"/>
    </row>
    <row r="4" spans="1:33" ht="23.25" customHeight="1">
      <c r="A4" s="52"/>
      <c r="B4" s="66"/>
      <c r="C4" s="66"/>
      <c r="D4" s="66"/>
      <c r="E4" s="66"/>
      <c r="F4" s="66"/>
      <c r="G4" s="66"/>
      <c r="H4" s="52"/>
      <c r="I4" s="52"/>
      <c r="J4" s="52"/>
      <c r="K4" s="66"/>
      <c r="L4" s="108"/>
      <c r="M4" s="108"/>
      <c r="N4" s="108"/>
      <c r="O4" s="52"/>
      <c r="P4" s="108"/>
      <c r="Q4" s="108"/>
      <c r="R4" s="108"/>
      <c r="S4" s="66"/>
      <c r="T4" s="108"/>
      <c r="U4" s="108"/>
      <c r="V4" s="108"/>
      <c r="W4" s="66"/>
      <c r="X4" s="52"/>
      <c r="Y4" s="52"/>
      <c r="Z4" s="52"/>
      <c r="AA4" s="66"/>
      <c r="AB4" s="66"/>
      <c r="AC4" s="66"/>
      <c r="AD4" s="66"/>
      <c r="AE4" s="66"/>
      <c r="AF4" s="66"/>
      <c r="AG4" s="53"/>
    </row>
    <row r="5" spans="1:33" ht="22.5" customHeight="1">
      <c r="A5" s="52"/>
      <c r="B5" s="66"/>
      <c r="C5" s="66"/>
      <c r="D5" s="66"/>
      <c r="E5" s="66"/>
      <c r="F5" s="66"/>
      <c r="G5" s="66"/>
      <c r="H5" s="52"/>
      <c r="I5" s="52"/>
      <c r="J5" s="52"/>
      <c r="K5" s="66"/>
      <c r="L5" s="109">
        <f>SUM(B10,J10,R10,B35,J35,R35,B60,J60,R60,Z10,Z35,Z60)</f>
        <v>656691</v>
      </c>
      <c r="M5" s="109"/>
      <c r="N5" s="109"/>
      <c r="O5" s="52"/>
      <c r="P5" s="109">
        <f>SUM(K10,S10,C35,K35,S35,C60,K60,S60,Z10,Z35,Z60)</f>
        <v>574118</v>
      </c>
      <c r="Q5" s="109"/>
      <c r="R5" s="109"/>
      <c r="S5" s="66"/>
      <c r="T5" s="109">
        <f>L5-P5</f>
        <v>82573</v>
      </c>
      <c r="U5" s="109"/>
      <c r="V5" s="109"/>
      <c r="W5" s="66"/>
      <c r="X5" s="52"/>
      <c r="Y5" s="52"/>
      <c r="Z5" s="52"/>
      <c r="AA5" s="66"/>
      <c r="AB5" s="66"/>
      <c r="AC5" s="66"/>
      <c r="AD5" s="66"/>
      <c r="AE5" s="66"/>
      <c r="AF5" s="66"/>
      <c r="AG5" s="53"/>
    </row>
    <row r="6" spans="1:33">
      <c r="A6" s="52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53"/>
    </row>
    <row r="7" spans="1:33" ht="24.75">
      <c r="A7" s="52"/>
      <c r="B7" s="103" t="s">
        <v>80</v>
      </c>
      <c r="C7" s="103"/>
      <c r="D7" s="103"/>
      <c r="E7" s="103"/>
      <c r="F7" s="103"/>
      <c r="G7" s="103"/>
      <c r="H7" s="103"/>
      <c r="I7" s="52"/>
      <c r="J7" s="103" t="s">
        <v>89</v>
      </c>
      <c r="K7" s="103"/>
      <c r="L7" s="103"/>
      <c r="M7" s="103"/>
      <c r="N7" s="103"/>
      <c r="O7" s="103"/>
      <c r="P7" s="103"/>
      <c r="Q7" s="52"/>
      <c r="R7" s="103" t="s">
        <v>93</v>
      </c>
      <c r="S7" s="103"/>
      <c r="T7" s="103"/>
      <c r="U7" s="103"/>
      <c r="V7" s="103"/>
      <c r="W7" s="103"/>
      <c r="X7" s="103"/>
      <c r="Y7" s="52"/>
      <c r="Z7" s="103" t="s">
        <v>205</v>
      </c>
      <c r="AA7" s="103"/>
      <c r="AB7" s="103"/>
      <c r="AC7" s="103"/>
      <c r="AD7" s="103"/>
      <c r="AE7" s="103"/>
      <c r="AF7" s="103"/>
      <c r="AG7" s="53"/>
    </row>
    <row r="8" spans="1:33" ht="18.75" customHeight="1">
      <c r="A8" s="52"/>
      <c r="B8" s="104" t="s">
        <v>3</v>
      </c>
      <c r="C8" s="97" t="s">
        <v>4</v>
      </c>
      <c r="D8" s="97" t="s">
        <v>82</v>
      </c>
      <c r="E8" s="97"/>
      <c r="F8" s="97" t="s">
        <v>83</v>
      </c>
      <c r="G8" s="97"/>
      <c r="H8" s="98" t="s">
        <v>81</v>
      </c>
      <c r="I8" s="52"/>
      <c r="J8" s="100" t="s">
        <v>3</v>
      </c>
      <c r="K8" s="97" t="s">
        <v>4</v>
      </c>
      <c r="L8" s="97" t="s">
        <v>82</v>
      </c>
      <c r="M8" s="97"/>
      <c r="N8" s="97" t="s">
        <v>83</v>
      </c>
      <c r="O8" s="97"/>
      <c r="P8" s="98" t="s">
        <v>81</v>
      </c>
      <c r="Q8" s="52"/>
      <c r="R8" s="100" t="s">
        <v>3</v>
      </c>
      <c r="S8" s="97" t="s">
        <v>4</v>
      </c>
      <c r="T8" s="97" t="s">
        <v>82</v>
      </c>
      <c r="U8" s="97"/>
      <c r="V8" s="97" t="s">
        <v>83</v>
      </c>
      <c r="W8" s="97"/>
      <c r="X8" s="98" t="s">
        <v>81</v>
      </c>
      <c r="Y8" s="52"/>
      <c r="Z8" s="100" t="s">
        <v>3</v>
      </c>
      <c r="AA8" s="97" t="s">
        <v>4</v>
      </c>
      <c r="AB8" s="97" t="s">
        <v>82</v>
      </c>
      <c r="AC8" s="97"/>
      <c r="AD8" s="97" t="s">
        <v>83</v>
      </c>
      <c r="AE8" s="97"/>
      <c r="AF8" s="98" t="s">
        <v>81</v>
      </c>
      <c r="AG8" s="53"/>
    </row>
    <row r="9" spans="1:33" ht="18.75" customHeight="1">
      <c r="A9" s="52"/>
      <c r="B9" s="105"/>
      <c r="C9" s="102"/>
      <c r="D9" s="26" t="s">
        <v>3</v>
      </c>
      <c r="E9" s="26" t="s">
        <v>4</v>
      </c>
      <c r="F9" s="26" t="s">
        <v>3</v>
      </c>
      <c r="G9" s="26" t="s">
        <v>4</v>
      </c>
      <c r="H9" s="99"/>
      <c r="I9" s="52"/>
      <c r="J9" s="101"/>
      <c r="K9" s="102"/>
      <c r="L9" s="26" t="s">
        <v>3</v>
      </c>
      <c r="M9" s="26" t="s">
        <v>4</v>
      </c>
      <c r="N9" s="26" t="s">
        <v>3</v>
      </c>
      <c r="O9" s="26" t="s">
        <v>4</v>
      </c>
      <c r="P9" s="99"/>
      <c r="Q9" s="52"/>
      <c r="R9" s="101"/>
      <c r="S9" s="102"/>
      <c r="T9" s="26" t="s">
        <v>3</v>
      </c>
      <c r="U9" s="26" t="s">
        <v>4</v>
      </c>
      <c r="V9" s="26" t="s">
        <v>3</v>
      </c>
      <c r="W9" s="26" t="s">
        <v>4</v>
      </c>
      <c r="X9" s="99"/>
      <c r="Y9" s="52"/>
      <c r="Z9" s="101"/>
      <c r="AA9" s="102"/>
      <c r="AB9" s="26" t="s">
        <v>3</v>
      </c>
      <c r="AC9" s="26" t="s">
        <v>4</v>
      </c>
      <c r="AD9" s="26" t="s">
        <v>3</v>
      </c>
      <c r="AE9" s="26" t="s">
        <v>4</v>
      </c>
      <c r="AF9" s="99"/>
      <c r="AG9" s="53"/>
    </row>
    <row r="10" spans="1:33" ht="15" customHeight="1">
      <c r="A10" s="52"/>
      <c r="B10" s="27">
        <f>Months!D35</f>
        <v>46640</v>
      </c>
      <c r="C10" s="28">
        <f>Months!E36</f>
        <v>44937</v>
      </c>
      <c r="D10" s="28">
        <f>Months!D37</f>
        <v>40000</v>
      </c>
      <c r="E10" s="28">
        <f>Months!E38</f>
        <v>12000</v>
      </c>
      <c r="F10" s="28">
        <f>Months!D39</f>
        <v>50</v>
      </c>
      <c r="G10" s="28">
        <f>Months!E40</f>
        <v>114</v>
      </c>
      <c r="H10" s="29">
        <f>Months!D41</f>
        <v>1703</v>
      </c>
      <c r="I10" s="52"/>
      <c r="J10" s="48">
        <f>Months!L35</f>
        <v>41101</v>
      </c>
      <c r="K10" s="49">
        <f>Months!M36</f>
        <v>39428</v>
      </c>
      <c r="L10" s="49">
        <f>Months!L37</f>
        <v>30000</v>
      </c>
      <c r="M10" s="49">
        <f>Months!M38</f>
        <v>2335</v>
      </c>
      <c r="N10" s="49">
        <f>Months!L39</f>
        <v>50</v>
      </c>
      <c r="O10" s="49">
        <f>Months!M40</f>
        <v>41</v>
      </c>
      <c r="P10" s="50">
        <f>Months!L41</f>
        <v>1673</v>
      </c>
      <c r="Q10" s="52"/>
      <c r="R10" s="48">
        <f>Months!T35</f>
        <v>34500</v>
      </c>
      <c r="S10" s="28">
        <f>Months!U36</f>
        <v>71300</v>
      </c>
      <c r="T10" s="28">
        <f>Months!T37</f>
        <v>31500</v>
      </c>
      <c r="U10" s="28">
        <f>Months!U38</f>
        <v>15000</v>
      </c>
      <c r="V10" s="28">
        <f>Months!T39</f>
        <v>3000</v>
      </c>
      <c r="W10" s="28">
        <f>Months!U40</f>
        <v>150</v>
      </c>
      <c r="X10" s="29">
        <f>Months!T41</f>
        <v>-36800</v>
      </c>
      <c r="Y10" s="52"/>
      <c r="Z10" s="48">
        <f>Months!AB35</f>
        <v>50670</v>
      </c>
      <c r="AA10" s="49">
        <f>Months!AC36</f>
        <v>48500</v>
      </c>
      <c r="AB10" s="49">
        <f>Months!AB37</f>
        <v>30500</v>
      </c>
      <c r="AC10" s="49">
        <f>Months!AC38</f>
        <v>15000</v>
      </c>
      <c r="AD10" s="49">
        <f>Months!AB39</f>
        <v>600</v>
      </c>
      <c r="AE10" s="49">
        <f>Months!AC40</f>
        <v>100</v>
      </c>
      <c r="AF10" s="50">
        <f>Months!AB41</f>
        <v>2170</v>
      </c>
      <c r="AG10" s="53"/>
    </row>
    <row r="11" spans="1:33" ht="15" customHeight="1">
      <c r="A11" s="52"/>
      <c r="B11" s="95" t="s">
        <v>207</v>
      </c>
      <c r="C11" s="95"/>
      <c r="D11" s="95"/>
      <c r="E11" s="95"/>
      <c r="F11" s="95"/>
      <c r="G11" s="95"/>
      <c r="H11" s="95"/>
      <c r="I11" s="52"/>
      <c r="J11" s="95" t="s">
        <v>208</v>
      </c>
      <c r="K11" s="95"/>
      <c r="L11" s="95"/>
      <c r="M11" s="95"/>
      <c r="N11" s="95"/>
      <c r="O11" s="95"/>
      <c r="P11" s="95"/>
      <c r="Q11" s="52"/>
      <c r="R11" s="95" t="s">
        <v>209</v>
      </c>
      <c r="S11" s="95"/>
      <c r="T11" s="95"/>
      <c r="U11" s="95"/>
      <c r="V11" s="95"/>
      <c r="W11" s="95"/>
      <c r="X11" s="95"/>
      <c r="Y11" s="52"/>
      <c r="Z11" s="95" t="s">
        <v>214</v>
      </c>
      <c r="AA11" s="95"/>
      <c r="AB11" s="95"/>
      <c r="AC11" s="95"/>
      <c r="AD11" s="95"/>
      <c r="AE11" s="95"/>
      <c r="AF11" s="95"/>
      <c r="AG11" s="53"/>
    </row>
    <row r="12" spans="1:33" ht="15" customHeight="1">
      <c r="A12" s="52"/>
      <c r="B12" s="96"/>
      <c r="C12" s="96"/>
      <c r="D12" s="96"/>
      <c r="E12" s="96"/>
      <c r="F12" s="96"/>
      <c r="G12" s="96"/>
      <c r="H12" s="96"/>
      <c r="I12" s="52"/>
      <c r="J12" s="96"/>
      <c r="K12" s="96"/>
      <c r="L12" s="96"/>
      <c r="M12" s="96"/>
      <c r="N12" s="96"/>
      <c r="O12" s="96"/>
      <c r="P12" s="96"/>
      <c r="Q12" s="52"/>
      <c r="R12" s="96"/>
      <c r="S12" s="96"/>
      <c r="T12" s="96"/>
      <c r="U12" s="96"/>
      <c r="V12" s="96"/>
      <c r="W12" s="96"/>
      <c r="X12" s="96"/>
      <c r="Y12" s="52"/>
      <c r="Z12" s="96"/>
      <c r="AA12" s="96"/>
      <c r="AB12" s="96"/>
      <c r="AC12" s="96"/>
      <c r="AD12" s="96"/>
      <c r="AE12" s="96"/>
      <c r="AF12" s="96"/>
      <c r="AG12" s="53"/>
    </row>
    <row r="13" spans="1:33" ht="15" customHeight="1">
      <c r="A13" s="52"/>
      <c r="B13" s="96"/>
      <c r="C13" s="96"/>
      <c r="D13" s="96"/>
      <c r="E13" s="96"/>
      <c r="F13" s="96"/>
      <c r="G13" s="96"/>
      <c r="H13" s="96"/>
      <c r="I13" s="52"/>
      <c r="J13" s="96"/>
      <c r="K13" s="96"/>
      <c r="L13" s="96"/>
      <c r="M13" s="96"/>
      <c r="N13" s="96"/>
      <c r="O13" s="96"/>
      <c r="P13" s="96"/>
      <c r="Q13" s="52"/>
      <c r="R13" s="96"/>
      <c r="S13" s="96"/>
      <c r="T13" s="96"/>
      <c r="U13" s="96"/>
      <c r="V13" s="96"/>
      <c r="W13" s="96"/>
      <c r="X13" s="96"/>
      <c r="Y13" s="52"/>
      <c r="Z13" s="96"/>
      <c r="AA13" s="96"/>
      <c r="AB13" s="96"/>
      <c r="AC13" s="96"/>
      <c r="AD13" s="96"/>
      <c r="AE13" s="96"/>
      <c r="AF13" s="96"/>
      <c r="AG13" s="53"/>
    </row>
    <row r="14" spans="1:33" ht="15" customHeight="1">
      <c r="A14" s="52"/>
      <c r="B14" s="96"/>
      <c r="C14" s="96"/>
      <c r="D14" s="96"/>
      <c r="E14" s="96"/>
      <c r="F14" s="96"/>
      <c r="G14" s="96"/>
      <c r="H14" s="96"/>
      <c r="I14" s="52"/>
      <c r="J14" s="96"/>
      <c r="K14" s="96"/>
      <c r="L14" s="96"/>
      <c r="M14" s="96"/>
      <c r="N14" s="96"/>
      <c r="O14" s="96"/>
      <c r="P14" s="96"/>
      <c r="Q14" s="52"/>
      <c r="R14" s="96"/>
      <c r="S14" s="96"/>
      <c r="T14" s="96"/>
      <c r="U14" s="96"/>
      <c r="V14" s="96"/>
      <c r="W14" s="96"/>
      <c r="X14" s="96"/>
      <c r="Y14" s="52"/>
      <c r="Z14" s="96"/>
      <c r="AA14" s="96"/>
      <c r="AB14" s="96"/>
      <c r="AC14" s="96"/>
      <c r="AD14" s="96"/>
      <c r="AE14" s="96"/>
      <c r="AF14" s="96"/>
      <c r="AG14" s="53"/>
    </row>
    <row r="15" spans="1:3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</row>
    <row r="16" spans="1:33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</row>
    <row r="17" spans="1:33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</row>
    <row r="18" spans="1:3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</row>
    <row r="19" spans="1:3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3"/>
      <c r="AA19" s="53"/>
      <c r="AB19" s="53"/>
      <c r="AC19" s="53"/>
      <c r="AD19" s="53"/>
      <c r="AE19" s="53"/>
      <c r="AF19" s="53"/>
      <c r="AG19" s="53"/>
    </row>
    <row r="20" spans="1:3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/>
      <c r="AA20" s="53"/>
      <c r="AB20" s="53"/>
      <c r="AC20" s="53"/>
      <c r="AD20" s="53"/>
      <c r="AE20" s="53"/>
      <c r="AF20" s="53"/>
      <c r="AG20" s="53"/>
    </row>
    <row r="21" spans="1:3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/>
      <c r="AA21" s="53"/>
      <c r="AB21" s="53"/>
      <c r="AC21" s="53"/>
      <c r="AD21" s="53"/>
      <c r="AE21" s="53"/>
      <c r="AF21" s="53"/>
      <c r="AG21" s="53"/>
    </row>
    <row r="22" spans="1:33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</row>
    <row r="23" spans="1:3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</row>
    <row r="24" spans="1:3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</row>
    <row r="25" spans="1:33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</row>
    <row r="26" spans="1:3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</row>
    <row r="27" spans="1:3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</row>
    <row r="28" spans="1:3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</row>
    <row r="29" spans="1:3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</row>
    <row r="30" spans="1:3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</row>
    <row r="31" spans="1:3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</row>
    <row r="32" spans="1:33" ht="24.75">
      <c r="A32" s="52"/>
      <c r="B32" s="103" t="s">
        <v>206</v>
      </c>
      <c r="C32" s="103"/>
      <c r="D32" s="103"/>
      <c r="E32" s="103"/>
      <c r="F32" s="103"/>
      <c r="G32" s="103"/>
      <c r="H32" s="103"/>
      <c r="I32" s="52"/>
      <c r="J32" s="103" t="s">
        <v>165</v>
      </c>
      <c r="K32" s="103"/>
      <c r="L32" s="103"/>
      <c r="M32" s="103"/>
      <c r="N32" s="103"/>
      <c r="O32" s="103"/>
      <c r="P32" s="103"/>
      <c r="Q32" s="52"/>
      <c r="R32" s="103" t="s">
        <v>164</v>
      </c>
      <c r="S32" s="103"/>
      <c r="T32" s="103"/>
      <c r="U32" s="103"/>
      <c r="V32" s="103"/>
      <c r="W32" s="103"/>
      <c r="X32" s="103"/>
      <c r="Y32" s="52"/>
      <c r="Z32" s="103" t="s">
        <v>163</v>
      </c>
      <c r="AA32" s="103"/>
      <c r="AB32" s="103"/>
      <c r="AC32" s="103"/>
      <c r="AD32" s="103"/>
      <c r="AE32" s="103"/>
      <c r="AF32" s="103"/>
      <c r="AG32" s="52"/>
    </row>
    <row r="33" spans="1:36" ht="18.75">
      <c r="A33" s="52"/>
      <c r="B33" s="100" t="s">
        <v>3</v>
      </c>
      <c r="C33" s="97" t="s">
        <v>4</v>
      </c>
      <c r="D33" s="97" t="s">
        <v>82</v>
      </c>
      <c r="E33" s="97"/>
      <c r="F33" s="97" t="s">
        <v>83</v>
      </c>
      <c r="G33" s="97"/>
      <c r="H33" s="98" t="s">
        <v>81</v>
      </c>
      <c r="I33" s="52"/>
      <c r="J33" s="100" t="s">
        <v>3</v>
      </c>
      <c r="K33" s="97" t="s">
        <v>4</v>
      </c>
      <c r="L33" s="97" t="s">
        <v>82</v>
      </c>
      <c r="M33" s="97"/>
      <c r="N33" s="97" t="s">
        <v>83</v>
      </c>
      <c r="O33" s="97"/>
      <c r="P33" s="98" t="s">
        <v>81</v>
      </c>
      <c r="Q33" s="52"/>
      <c r="R33" s="100" t="s">
        <v>3</v>
      </c>
      <c r="S33" s="97" t="s">
        <v>4</v>
      </c>
      <c r="T33" s="97" t="s">
        <v>82</v>
      </c>
      <c r="U33" s="97"/>
      <c r="V33" s="97" t="s">
        <v>83</v>
      </c>
      <c r="W33" s="97"/>
      <c r="X33" s="98" t="s">
        <v>81</v>
      </c>
      <c r="Y33" s="52"/>
      <c r="Z33" s="100" t="s">
        <v>3</v>
      </c>
      <c r="AA33" s="97" t="s">
        <v>4</v>
      </c>
      <c r="AB33" s="97" t="s">
        <v>82</v>
      </c>
      <c r="AC33" s="97"/>
      <c r="AD33" s="97" t="s">
        <v>83</v>
      </c>
      <c r="AE33" s="97"/>
      <c r="AF33" s="98" t="s">
        <v>81</v>
      </c>
      <c r="AG33" s="52"/>
    </row>
    <row r="34" spans="1:36" ht="18.75">
      <c r="A34" s="52"/>
      <c r="B34" s="101"/>
      <c r="C34" s="102"/>
      <c r="D34" s="26" t="s">
        <v>3</v>
      </c>
      <c r="E34" s="26" t="s">
        <v>4</v>
      </c>
      <c r="F34" s="26" t="s">
        <v>3</v>
      </c>
      <c r="G34" s="26" t="s">
        <v>4</v>
      </c>
      <c r="H34" s="99"/>
      <c r="I34" s="52"/>
      <c r="J34" s="101"/>
      <c r="K34" s="102"/>
      <c r="L34" s="26" t="s">
        <v>3</v>
      </c>
      <c r="M34" s="26" t="s">
        <v>4</v>
      </c>
      <c r="N34" s="26" t="s">
        <v>3</v>
      </c>
      <c r="O34" s="26" t="s">
        <v>4</v>
      </c>
      <c r="P34" s="99"/>
      <c r="Q34" s="52"/>
      <c r="R34" s="101"/>
      <c r="S34" s="102"/>
      <c r="T34" s="26" t="s">
        <v>3</v>
      </c>
      <c r="U34" s="26" t="s">
        <v>4</v>
      </c>
      <c r="V34" s="26" t="s">
        <v>3</v>
      </c>
      <c r="W34" s="26" t="s">
        <v>4</v>
      </c>
      <c r="X34" s="99"/>
      <c r="Y34" s="52"/>
      <c r="Z34" s="101"/>
      <c r="AA34" s="102"/>
      <c r="AB34" s="26" t="s">
        <v>3</v>
      </c>
      <c r="AC34" s="26" t="s">
        <v>4</v>
      </c>
      <c r="AD34" s="26" t="s">
        <v>3</v>
      </c>
      <c r="AE34" s="26" t="s">
        <v>4</v>
      </c>
      <c r="AF34" s="99"/>
      <c r="AG34" s="52"/>
    </row>
    <row r="35" spans="1:36">
      <c r="A35" s="52"/>
      <c r="B35" s="48">
        <f>Months!AJ35</f>
        <v>53020</v>
      </c>
      <c r="C35" s="28">
        <f>Months!AK36</f>
        <v>52100</v>
      </c>
      <c r="D35" s="28">
        <f>Months!AJ37</f>
        <v>53020</v>
      </c>
      <c r="E35" s="28">
        <f>Months!AK38</f>
        <v>52100</v>
      </c>
      <c r="F35" s="28">
        <f>Months!AJ39</f>
        <v>7020</v>
      </c>
      <c r="G35" s="28">
        <f>Months!AK40</f>
        <v>100</v>
      </c>
      <c r="H35" s="29">
        <f>Months!AJ41</f>
        <v>920</v>
      </c>
      <c r="I35" s="52"/>
      <c r="J35" s="48">
        <f>Months!AR35</f>
        <v>36000</v>
      </c>
      <c r="K35" s="49">
        <f>Months!AS36</f>
        <v>39400</v>
      </c>
      <c r="L35" s="49">
        <f>Months!AR37</f>
        <v>30000</v>
      </c>
      <c r="M35" s="49">
        <f>Months!AS38</f>
        <v>15000</v>
      </c>
      <c r="N35" s="49">
        <f>Months!AR39</f>
        <v>6000</v>
      </c>
      <c r="O35" s="49">
        <f>Months!AS40</f>
        <v>100</v>
      </c>
      <c r="P35" s="50">
        <f>Months!AR41</f>
        <v>-3400</v>
      </c>
      <c r="Q35" s="52"/>
      <c r="R35" s="48">
        <f>Months!AZ35</f>
        <v>123550</v>
      </c>
      <c r="S35" s="49">
        <f>Months!BA36</f>
        <v>54100</v>
      </c>
      <c r="T35" s="49">
        <f>Months!AZ37</f>
        <v>80050</v>
      </c>
      <c r="U35" s="49">
        <f>Months!BA38</f>
        <v>15000</v>
      </c>
      <c r="V35" s="49">
        <f>Months!AZ39</f>
        <v>3000</v>
      </c>
      <c r="W35" s="49">
        <f>Months!BA40</f>
        <v>150</v>
      </c>
      <c r="X35" s="50">
        <f>Months!AZ41</f>
        <v>69450</v>
      </c>
      <c r="Y35" s="52"/>
      <c r="Z35" s="48">
        <f>Months!BH35</f>
        <v>30500</v>
      </c>
      <c r="AA35" s="49">
        <f>Months!BI36</f>
        <v>72200</v>
      </c>
      <c r="AB35" s="49">
        <f>Months!BH37</f>
        <v>30500</v>
      </c>
      <c r="AC35" s="49">
        <f>Months!BI38</f>
        <v>15000</v>
      </c>
      <c r="AD35" s="49">
        <f>Months!BH39</f>
        <v>30500</v>
      </c>
      <c r="AE35" s="49">
        <f>Months!BI40</f>
        <v>400</v>
      </c>
      <c r="AF35" s="50">
        <f>Months!BH41</f>
        <v>-41700</v>
      </c>
      <c r="AG35" s="52"/>
    </row>
    <row r="36" spans="1:36" s="65" customFormat="1">
      <c r="A36" s="63"/>
      <c r="B36" s="95" t="s">
        <v>210</v>
      </c>
      <c r="C36" s="95"/>
      <c r="D36" s="95"/>
      <c r="E36" s="95"/>
      <c r="F36" s="95"/>
      <c r="G36" s="95"/>
      <c r="H36" s="95"/>
      <c r="I36" s="63"/>
      <c r="J36" s="95" t="s">
        <v>211</v>
      </c>
      <c r="K36" s="95"/>
      <c r="L36" s="95"/>
      <c r="M36" s="95"/>
      <c r="N36" s="95"/>
      <c r="O36" s="95"/>
      <c r="P36" s="95"/>
      <c r="Q36" s="63"/>
      <c r="R36" s="95" t="s">
        <v>212</v>
      </c>
      <c r="S36" s="95"/>
      <c r="T36" s="95"/>
      <c r="U36" s="95"/>
      <c r="V36" s="95"/>
      <c r="W36" s="95"/>
      <c r="X36" s="95"/>
      <c r="Y36" s="63"/>
      <c r="Z36" s="95" t="s">
        <v>213</v>
      </c>
      <c r="AA36" s="95"/>
      <c r="AB36" s="95"/>
      <c r="AC36" s="95"/>
      <c r="AD36" s="95"/>
      <c r="AE36" s="95"/>
      <c r="AF36" s="95"/>
      <c r="AG36" s="63"/>
      <c r="AH36" s="64"/>
      <c r="AI36" s="64"/>
    </row>
    <row r="37" spans="1:36" s="62" customFormat="1">
      <c r="A37" s="60"/>
      <c r="B37" s="96"/>
      <c r="C37" s="96"/>
      <c r="D37" s="96"/>
      <c r="E37" s="96"/>
      <c r="F37" s="96"/>
      <c r="G37" s="96"/>
      <c r="H37" s="96"/>
      <c r="I37" s="60"/>
      <c r="J37" s="96"/>
      <c r="K37" s="96"/>
      <c r="L37" s="96"/>
      <c r="M37" s="96"/>
      <c r="N37" s="96"/>
      <c r="O37" s="96"/>
      <c r="P37" s="96"/>
      <c r="Q37" s="60"/>
      <c r="R37" s="96"/>
      <c r="S37" s="96"/>
      <c r="T37" s="96"/>
      <c r="U37" s="96"/>
      <c r="V37" s="96"/>
      <c r="W37" s="96"/>
      <c r="X37" s="96"/>
      <c r="Y37" s="60"/>
      <c r="Z37" s="96"/>
      <c r="AA37" s="96"/>
      <c r="AB37" s="96"/>
      <c r="AC37" s="96"/>
      <c r="AD37" s="96"/>
      <c r="AE37" s="96"/>
      <c r="AF37" s="96"/>
      <c r="AG37" s="60"/>
      <c r="AH37" s="61"/>
      <c r="AI37" s="61"/>
    </row>
    <row r="38" spans="1:36">
      <c r="A38" s="52"/>
      <c r="B38" s="96"/>
      <c r="C38" s="96"/>
      <c r="D38" s="96"/>
      <c r="E38" s="96"/>
      <c r="F38" s="96"/>
      <c r="G38" s="96"/>
      <c r="H38" s="96"/>
      <c r="I38" s="52"/>
      <c r="J38" s="96"/>
      <c r="K38" s="96"/>
      <c r="L38" s="96"/>
      <c r="M38" s="96"/>
      <c r="N38" s="96"/>
      <c r="O38" s="96"/>
      <c r="P38" s="96"/>
      <c r="Q38" s="52"/>
      <c r="R38" s="96"/>
      <c r="S38" s="96"/>
      <c r="T38" s="96"/>
      <c r="U38" s="96"/>
      <c r="V38" s="96"/>
      <c r="W38" s="96"/>
      <c r="X38" s="96"/>
      <c r="Y38" s="52"/>
      <c r="Z38" s="96"/>
      <c r="AA38" s="96"/>
      <c r="AB38" s="96"/>
      <c r="AC38" s="96"/>
      <c r="AD38" s="96"/>
      <c r="AE38" s="96"/>
      <c r="AF38" s="96"/>
      <c r="AG38" s="52"/>
    </row>
    <row r="39" spans="1:36">
      <c r="A39" s="52"/>
      <c r="B39" s="96"/>
      <c r="C39" s="96"/>
      <c r="D39" s="96"/>
      <c r="E39" s="96"/>
      <c r="F39" s="96"/>
      <c r="G39" s="96"/>
      <c r="H39" s="96"/>
      <c r="I39" s="52"/>
      <c r="J39" s="96"/>
      <c r="K39" s="96"/>
      <c r="L39" s="96"/>
      <c r="M39" s="96"/>
      <c r="N39" s="96"/>
      <c r="O39" s="96"/>
      <c r="P39" s="96"/>
      <c r="Q39" s="52"/>
      <c r="R39" s="96"/>
      <c r="S39" s="96"/>
      <c r="T39" s="96"/>
      <c r="U39" s="96"/>
      <c r="V39" s="96"/>
      <c r="W39" s="96"/>
      <c r="X39" s="96"/>
      <c r="Y39" s="52"/>
      <c r="Z39" s="96"/>
      <c r="AA39" s="96"/>
      <c r="AB39" s="96"/>
      <c r="AC39" s="96"/>
      <c r="AD39" s="96"/>
      <c r="AE39" s="96"/>
      <c r="AF39" s="96"/>
      <c r="AG39" s="52"/>
    </row>
    <row r="40" spans="1:36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</row>
    <row r="41" spans="1:36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</row>
    <row r="42" spans="1:36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</row>
    <row r="43" spans="1:36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</row>
    <row r="44" spans="1:36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</row>
    <row r="45" spans="1:36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</row>
    <row r="46" spans="1:3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</row>
    <row r="47" spans="1:36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J47" s="54"/>
    </row>
    <row r="48" spans="1:36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J48" s="54"/>
    </row>
    <row r="49" spans="1:36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J49" s="54"/>
    </row>
    <row r="50" spans="1:36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J50" s="54"/>
    </row>
    <row r="51" spans="1:36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J51" s="54"/>
    </row>
    <row r="52" spans="1:36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J52" s="54"/>
    </row>
    <row r="53" spans="1:36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J53" s="54"/>
    </row>
    <row r="54" spans="1:36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J54" s="54"/>
    </row>
    <row r="55" spans="1:36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J55" s="54"/>
    </row>
    <row r="56" spans="1:3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J56" s="54"/>
    </row>
    <row r="57" spans="1:36" s="54" customFormat="1" ht="24.75">
      <c r="A57" s="52"/>
      <c r="B57" s="103" t="s">
        <v>162</v>
      </c>
      <c r="C57" s="103"/>
      <c r="D57" s="103"/>
      <c r="E57" s="103"/>
      <c r="F57" s="103"/>
      <c r="G57" s="103"/>
      <c r="H57" s="103"/>
      <c r="I57" s="52"/>
      <c r="J57" s="103" t="s">
        <v>161</v>
      </c>
      <c r="K57" s="103"/>
      <c r="L57" s="103"/>
      <c r="M57" s="103"/>
      <c r="N57" s="103"/>
      <c r="O57" s="103"/>
      <c r="P57" s="103"/>
      <c r="Q57" s="52"/>
      <c r="R57" s="103" t="s">
        <v>160</v>
      </c>
      <c r="S57" s="103"/>
      <c r="T57" s="103"/>
      <c r="U57" s="103"/>
      <c r="V57" s="103"/>
      <c r="W57" s="103"/>
      <c r="X57" s="103"/>
      <c r="Y57" s="52"/>
      <c r="Z57" s="103" t="s">
        <v>159</v>
      </c>
      <c r="AA57" s="103"/>
      <c r="AB57" s="103"/>
      <c r="AC57" s="103"/>
      <c r="AD57" s="103"/>
      <c r="AE57" s="103"/>
      <c r="AF57" s="103"/>
      <c r="AG57" s="52"/>
    </row>
    <row r="58" spans="1:36" ht="18.75">
      <c r="A58" s="52"/>
      <c r="B58" s="100" t="s">
        <v>3</v>
      </c>
      <c r="C58" s="97" t="s">
        <v>4</v>
      </c>
      <c r="D58" s="97" t="s">
        <v>82</v>
      </c>
      <c r="E58" s="97"/>
      <c r="F58" s="97" t="s">
        <v>83</v>
      </c>
      <c r="G58" s="97"/>
      <c r="H58" s="98" t="s">
        <v>81</v>
      </c>
      <c r="I58" s="52"/>
      <c r="J58" s="100" t="s">
        <v>3</v>
      </c>
      <c r="K58" s="97" t="s">
        <v>4</v>
      </c>
      <c r="L58" s="97" t="s">
        <v>82</v>
      </c>
      <c r="M58" s="97"/>
      <c r="N58" s="97" t="s">
        <v>83</v>
      </c>
      <c r="O58" s="97"/>
      <c r="P58" s="98" t="s">
        <v>81</v>
      </c>
      <c r="Q58" s="52"/>
      <c r="R58" s="100" t="s">
        <v>3</v>
      </c>
      <c r="S58" s="97" t="s">
        <v>4</v>
      </c>
      <c r="T58" s="97" t="s">
        <v>82</v>
      </c>
      <c r="U58" s="97"/>
      <c r="V58" s="97" t="s">
        <v>83</v>
      </c>
      <c r="W58" s="97"/>
      <c r="X58" s="98" t="s">
        <v>81</v>
      </c>
      <c r="Y58" s="52"/>
      <c r="Z58" s="100" t="s">
        <v>3</v>
      </c>
      <c r="AA58" s="97" t="s">
        <v>4</v>
      </c>
      <c r="AB58" s="97" t="s">
        <v>82</v>
      </c>
      <c r="AC58" s="97"/>
      <c r="AD58" s="97" t="s">
        <v>83</v>
      </c>
      <c r="AE58" s="97"/>
      <c r="AF58" s="98" t="s">
        <v>81</v>
      </c>
      <c r="AG58" s="52"/>
      <c r="AJ58" s="54"/>
    </row>
    <row r="59" spans="1:36" ht="18.75">
      <c r="A59" s="52"/>
      <c r="B59" s="101"/>
      <c r="C59" s="102"/>
      <c r="D59" s="26" t="s">
        <v>3</v>
      </c>
      <c r="E59" s="26" t="s">
        <v>4</v>
      </c>
      <c r="F59" s="26" t="s">
        <v>3</v>
      </c>
      <c r="G59" s="26" t="s">
        <v>4</v>
      </c>
      <c r="H59" s="99"/>
      <c r="I59" s="52"/>
      <c r="J59" s="101"/>
      <c r="K59" s="102"/>
      <c r="L59" s="26" t="s">
        <v>3</v>
      </c>
      <c r="M59" s="26" t="s">
        <v>4</v>
      </c>
      <c r="N59" s="26" t="s">
        <v>3</v>
      </c>
      <c r="O59" s="26" t="s">
        <v>4</v>
      </c>
      <c r="P59" s="99"/>
      <c r="Q59" s="52"/>
      <c r="R59" s="101"/>
      <c r="S59" s="102"/>
      <c r="T59" s="26" t="s">
        <v>3</v>
      </c>
      <c r="U59" s="26" t="s">
        <v>4</v>
      </c>
      <c r="V59" s="26" t="s">
        <v>3</v>
      </c>
      <c r="W59" s="26" t="s">
        <v>4</v>
      </c>
      <c r="X59" s="99"/>
      <c r="Y59" s="52"/>
      <c r="Z59" s="101"/>
      <c r="AA59" s="102"/>
      <c r="AB59" s="26" t="s">
        <v>3</v>
      </c>
      <c r="AC59" s="26" t="s">
        <v>4</v>
      </c>
      <c r="AD59" s="26" t="s">
        <v>3</v>
      </c>
      <c r="AE59" s="26" t="s">
        <v>4</v>
      </c>
      <c r="AF59" s="99"/>
      <c r="AG59" s="52"/>
    </row>
    <row r="60" spans="1:36" s="3" customFormat="1">
      <c r="A60" s="58"/>
      <c r="B60" s="48">
        <f>Months!BP35</f>
        <v>67980</v>
      </c>
      <c r="C60" s="49">
        <f>Months!BQ36</f>
        <v>67980</v>
      </c>
      <c r="D60" s="49">
        <f>Months!BP37</f>
        <v>31000</v>
      </c>
      <c r="E60" s="49">
        <f>Months!BQ38</f>
        <v>15000</v>
      </c>
      <c r="F60" s="49">
        <f>Months!BP39</f>
        <v>900</v>
      </c>
      <c r="G60" s="49">
        <f>Months!BQ40</f>
        <v>100</v>
      </c>
      <c r="H60" s="50">
        <f>Months!BP41</f>
        <v>0</v>
      </c>
      <c r="I60" s="58"/>
      <c r="J60" s="48">
        <f>Months!BX35</f>
        <v>57530</v>
      </c>
      <c r="K60" s="49">
        <f>Months!BY36</f>
        <v>40190</v>
      </c>
      <c r="L60" s="49">
        <f>Months!BX37</f>
        <v>28000</v>
      </c>
      <c r="M60" s="49">
        <f>Months!BY38</f>
        <v>5000</v>
      </c>
      <c r="N60" s="49">
        <f>Months!BX39</f>
        <v>3000</v>
      </c>
      <c r="O60" s="49">
        <f>Months!BY40</f>
        <v>150</v>
      </c>
      <c r="P60" s="50">
        <f>Months!BX41</f>
        <v>17340</v>
      </c>
      <c r="Q60" s="58"/>
      <c r="R60" s="48">
        <f>Months!CF35</f>
        <v>42000</v>
      </c>
      <c r="S60" s="49">
        <f>Months!CG36</f>
        <v>55250</v>
      </c>
      <c r="T60" s="49">
        <f>Months!CF37</f>
        <v>31500</v>
      </c>
      <c r="U60" s="49">
        <f>Months!CG38</f>
        <v>15000</v>
      </c>
      <c r="V60" s="49">
        <f>Months!CF39</f>
        <v>5000</v>
      </c>
      <c r="W60" s="49">
        <f>Months!CG40</f>
        <v>100</v>
      </c>
      <c r="X60" s="50">
        <f>Months!CF41</f>
        <v>-13250</v>
      </c>
      <c r="Y60" s="58"/>
      <c r="Z60" s="55">
        <f>Months!CN35</f>
        <v>73200</v>
      </c>
      <c r="AA60" s="56">
        <f>Months!CO36</f>
        <v>67450</v>
      </c>
      <c r="AB60" s="56">
        <f>Months!CN37</f>
        <v>32000</v>
      </c>
      <c r="AC60" s="56">
        <f>Months!CO38</f>
        <v>8000</v>
      </c>
      <c r="AD60" s="56">
        <f>Months!CN39</f>
        <v>1200</v>
      </c>
      <c r="AE60" s="56">
        <f>Months!CO40</f>
        <v>500</v>
      </c>
      <c r="AF60" s="57">
        <f>Months!CN41</f>
        <v>5750</v>
      </c>
      <c r="AG60" s="58"/>
      <c r="AH60" s="59"/>
      <c r="AI60" s="59"/>
    </row>
    <row r="61" spans="1:36">
      <c r="A61" s="52"/>
      <c r="B61" s="95" t="s">
        <v>215</v>
      </c>
      <c r="C61" s="95"/>
      <c r="D61" s="95"/>
      <c r="E61" s="95"/>
      <c r="F61" s="95"/>
      <c r="G61" s="95"/>
      <c r="H61" s="95"/>
      <c r="I61" s="52"/>
      <c r="J61" s="95" t="s">
        <v>216</v>
      </c>
      <c r="K61" s="95"/>
      <c r="L61" s="95"/>
      <c r="M61" s="95"/>
      <c r="N61" s="95"/>
      <c r="O61" s="95"/>
      <c r="P61" s="95"/>
      <c r="Q61" s="52"/>
      <c r="R61" s="95" t="s">
        <v>217</v>
      </c>
      <c r="S61" s="95"/>
      <c r="T61" s="95"/>
      <c r="U61" s="95"/>
      <c r="V61" s="95"/>
      <c r="W61" s="95"/>
      <c r="X61" s="95"/>
      <c r="Y61" s="52"/>
      <c r="Z61" s="95" t="s">
        <v>218</v>
      </c>
      <c r="AA61" s="95"/>
      <c r="AB61" s="95"/>
      <c r="AC61" s="95"/>
      <c r="AD61" s="95"/>
      <c r="AE61" s="95"/>
      <c r="AF61" s="95"/>
      <c r="AG61" s="52"/>
    </row>
    <row r="62" spans="1:36">
      <c r="A62" s="52"/>
      <c r="B62" s="96"/>
      <c r="C62" s="96"/>
      <c r="D62" s="96"/>
      <c r="E62" s="96"/>
      <c r="F62" s="96"/>
      <c r="G62" s="96"/>
      <c r="H62" s="96"/>
      <c r="I62" s="52"/>
      <c r="J62" s="96"/>
      <c r="K62" s="96"/>
      <c r="L62" s="96"/>
      <c r="M62" s="96"/>
      <c r="N62" s="96"/>
      <c r="O62" s="96"/>
      <c r="P62" s="96"/>
      <c r="Q62" s="52"/>
      <c r="R62" s="96"/>
      <c r="S62" s="96"/>
      <c r="T62" s="96"/>
      <c r="U62" s="96"/>
      <c r="V62" s="96"/>
      <c r="W62" s="96"/>
      <c r="X62" s="96"/>
      <c r="Y62" s="52"/>
      <c r="Z62" s="96"/>
      <c r="AA62" s="96"/>
      <c r="AB62" s="96"/>
      <c r="AC62" s="96"/>
      <c r="AD62" s="96"/>
      <c r="AE62" s="96"/>
      <c r="AF62" s="96"/>
      <c r="AG62" s="52"/>
    </row>
    <row r="63" spans="1:36">
      <c r="A63" s="52"/>
      <c r="B63" s="96"/>
      <c r="C63" s="96"/>
      <c r="D63" s="96"/>
      <c r="E63" s="96"/>
      <c r="F63" s="96"/>
      <c r="G63" s="96"/>
      <c r="H63" s="96"/>
      <c r="I63" s="52"/>
      <c r="J63" s="96"/>
      <c r="K63" s="96"/>
      <c r="L63" s="96"/>
      <c r="M63" s="96"/>
      <c r="N63" s="96"/>
      <c r="O63" s="96"/>
      <c r="P63" s="96"/>
      <c r="Q63" s="52"/>
      <c r="R63" s="96"/>
      <c r="S63" s="96"/>
      <c r="T63" s="96"/>
      <c r="U63" s="96"/>
      <c r="V63" s="96"/>
      <c r="W63" s="96"/>
      <c r="X63" s="96"/>
      <c r="Y63" s="52"/>
      <c r="Z63" s="96"/>
      <c r="AA63" s="96"/>
      <c r="AB63" s="96"/>
      <c r="AC63" s="96"/>
      <c r="AD63" s="96"/>
      <c r="AE63" s="96"/>
      <c r="AF63" s="96"/>
      <c r="AG63" s="52"/>
    </row>
    <row r="64" spans="1:36">
      <c r="A64" s="52"/>
      <c r="B64" s="96"/>
      <c r="C64" s="96"/>
      <c r="D64" s="96"/>
      <c r="E64" s="96"/>
      <c r="F64" s="96"/>
      <c r="G64" s="96"/>
      <c r="H64" s="96"/>
      <c r="I64" s="52"/>
      <c r="J64" s="96"/>
      <c r="K64" s="96"/>
      <c r="L64" s="96"/>
      <c r="M64" s="96"/>
      <c r="N64" s="96"/>
      <c r="O64" s="96"/>
      <c r="P64" s="96"/>
      <c r="Q64" s="52"/>
      <c r="R64" s="96"/>
      <c r="S64" s="96"/>
      <c r="T64" s="96"/>
      <c r="U64" s="96"/>
      <c r="V64" s="96"/>
      <c r="W64" s="96"/>
      <c r="X64" s="96"/>
      <c r="Y64" s="52"/>
      <c r="Z64" s="96"/>
      <c r="AA64" s="96"/>
      <c r="AB64" s="96"/>
      <c r="AC64" s="96"/>
      <c r="AD64" s="96"/>
      <c r="AE64" s="96"/>
      <c r="AF64" s="96"/>
      <c r="AG64" s="52"/>
    </row>
    <row r="65" spans="1:3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</row>
    <row r="66" spans="1:3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</row>
    <row r="67" spans="1:3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</row>
    <row r="68" spans="1:33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</row>
    <row r="69" spans="1:3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</row>
    <row r="70" spans="1:3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</row>
    <row r="71" spans="1:3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</row>
    <row r="72" spans="1:3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</row>
    <row r="73" spans="1:3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</row>
    <row r="74" spans="1:33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</row>
    <row r="75" spans="1:3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</row>
    <row r="76" spans="1:3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</row>
    <row r="77" spans="1:3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</row>
    <row r="78" spans="1:33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</row>
    <row r="79" spans="1:33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</row>
    <row r="80" spans="1:33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</row>
    <row r="81" spans="1:33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</row>
    <row r="82" spans="1:3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</row>
    <row r="83" spans="1:3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</row>
    <row r="84" spans="1:33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</row>
  </sheetData>
  <mergeCells count="91">
    <mergeCell ref="B2:AF2"/>
    <mergeCell ref="B7:H7"/>
    <mergeCell ref="J7:P7"/>
    <mergeCell ref="R7:X7"/>
    <mergeCell ref="Z7:AF7"/>
    <mergeCell ref="L3:N4"/>
    <mergeCell ref="L5:N5"/>
    <mergeCell ref="P3:R4"/>
    <mergeCell ref="P5:R5"/>
    <mergeCell ref="T3:V4"/>
    <mergeCell ref="T5:V5"/>
    <mergeCell ref="R8:R9"/>
    <mergeCell ref="S8:S9"/>
    <mergeCell ref="B8:B9"/>
    <mergeCell ref="C8:C9"/>
    <mergeCell ref="D8:E8"/>
    <mergeCell ref="F8:G8"/>
    <mergeCell ref="H8:H9"/>
    <mergeCell ref="J8:J9"/>
    <mergeCell ref="AD8:AE8"/>
    <mergeCell ref="AF8:AF9"/>
    <mergeCell ref="B11:H14"/>
    <mergeCell ref="J11:P14"/>
    <mergeCell ref="R11:X14"/>
    <mergeCell ref="Z11:AF14"/>
    <mergeCell ref="T8:U8"/>
    <mergeCell ref="V8:W8"/>
    <mergeCell ref="X8:X9"/>
    <mergeCell ref="Z8:Z9"/>
    <mergeCell ref="AA8:AA9"/>
    <mergeCell ref="AB8:AC8"/>
    <mergeCell ref="K8:K9"/>
    <mergeCell ref="L8:M8"/>
    <mergeCell ref="N8:O8"/>
    <mergeCell ref="P8:P9"/>
    <mergeCell ref="Z32:AF32"/>
    <mergeCell ref="B33:B34"/>
    <mergeCell ref="C33:C34"/>
    <mergeCell ref="D33:E33"/>
    <mergeCell ref="F33:G33"/>
    <mergeCell ref="H33:H34"/>
    <mergeCell ref="J33:J34"/>
    <mergeCell ref="R33:R34"/>
    <mergeCell ref="S33:S34"/>
    <mergeCell ref="B32:H32"/>
    <mergeCell ref="J32:P32"/>
    <mergeCell ref="R32:X32"/>
    <mergeCell ref="AD33:AE33"/>
    <mergeCell ref="AF33:AF34"/>
    <mergeCell ref="B36:H39"/>
    <mergeCell ref="J36:P39"/>
    <mergeCell ref="R36:X39"/>
    <mergeCell ref="Z36:AF39"/>
    <mergeCell ref="T33:U33"/>
    <mergeCell ref="V33:W33"/>
    <mergeCell ref="X33:X34"/>
    <mergeCell ref="Z33:Z34"/>
    <mergeCell ref="AA33:AA34"/>
    <mergeCell ref="AB33:AC33"/>
    <mergeCell ref="K33:K34"/>
    <mergeCell ref="L33:M33"/>
    <mergeCell ref="N33:O33"/>
    <mergeCell ref="P33:P34"/>
    <mergeCell ref="Z57:AF57"/>
    <mergeCell ref="B58:B59"/>
    <mergeCell ref="C58:C59"/>
    <mergeCell ref="D58:E58"/>
    <mergeCell ref="F58:G58"/>
    <mergeCell ref="H58:H59"/>
    <mergeCell ref="J58:J59"/>
    <mergeCell ref="N58:O58"/>
    <mergeCell ref="P58:P59"/>
    <mergeCell ref="R58:R59"/>
    <mergeCell ref="S58:S59"/>
    <mergeCell ref="B57:H57"/>
    <mergeCell ref="J57:P57"/>
    <mergeCell ref="R57:X57"/>
    <mergeCell ref="AD58:AE58"/>
    <mergeCell ref="AF58:AF59"/>
    <mergeCell ref="B61:H64"/>
    <mergeCell ref="J61:P64"/>
    <mergeCell ref="R61:X64"/>
    <mergeCell ref="Z61:AF64"/>
    <mergeCell ref="T58:U58"/>
    <mergeCell ref="V58:W58"/>
    <mergeCell ref="X58:X59"/>
    <mergeCell ref="Z58:Z59"/>
    <mergeCell ref="AA58:AA59"/>
    <mergeCell ref="AB58:AC58"/>
    <mergeCell ref="K58:K59"/>
    <mergeCell ref="L58:M58"/>
  </mergeCells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O62"/>
  <sheetViews>
    <sheetView tabSelected="1" topLeftCell="H1" zoomScale="65" zoomScaleNormal="62" workbookViewId="0">
      <pane ySplit="2" topLeftCell="A20" activePane="bottomLeft" state="frozen"/>
      <selection activeCell="CI1" sqref="CI1"/>
      <selection pane="bottomLeft" activeCell="R44" sqref="R44"/>
    </sheetView>
  </sheetViews>
  <sheetFormatPr defaultRowHeight="15"/>
  <cols>
    <col min="1" max="1" width="12.7109375" bestFit="1" customWidth="1"/>
    <col min="2" max="2" width="14.140625" customWidth="1"/>
    <col min="3" max="3" width="16.7109375" bestFit="1" customWidth="1"/>
    <col min="4" max="4" width="11" style="3" bestFit="1" customWidth="1"/>
    <col min="5" max="5" width="12.85546875" bestFit="1" customWidth="1"/>
    <col min="6" max="6" width="10.7109375" bestFit="1" customWidth="1"/>
    <col min="9" max="9" width="12.7109375" style="7" bestFit="1" customWidth="1"/>
    <col min="10" max="10" width="14.140625" bestFit="1" customWidth="1"/>
    <col min="11" max="11" width="15.85546875" bestFit="1" customWidth="1"/>
    <col min="12" max="12" width="10.7109375" bestFit="1" customWidth="1"/>
    <col min="13" max="13" width="10.85546875" bestFit="1" customWidth="1"/>
    <col min="17" max="17" width="11.7109375" style="7" customWidth="1"/>
    <col min="18" max="18" width="14.140625" bestFit="1" customWidth="1"/>
    <col min="19" max="19" width="15.85546875" bestFit="1" customWidth="1"/>
    <col min="20" max="20" width="10.7109375" bestFit="1" customWidth="1"/>
    <col min="21" max="21" width="10.85546875" bestFit="1" customWidth="1"/>
    <col min="25" max="25" width="11" style="7" customWidth="1"/>
    <col min="26" max="26" width="14.140625" bestFit="1" customWidth="1"/>
    <col min="27" max="27" width="19.42578125" bestFit="1" customWidth="1"/>
    <col min="28" max="28" width="10.7109375" bestFit="1" customWidth="1"/>
    <col min="29" max="29" width="10.85546875" bestFit="1" customWidth="1"/>
    <col min="30" max="30" width="10.7109375" bestFit="1" customWidth="1"/>
    <col min="31" max="31" width="10.42578125" customWidth="1"/>
    <col min="33" max="33" width="11" style="7" bestFit="1" customWidth="1"/>
    <col min="34" max="34" width="14" bestFit="1" customWidth="1"/>
    <col min="35" max="35" width="19.28515625" bestFit="1" customWidth="1"/>
    <col min="36" max="36" width="10.7109375" bestFit="1" customWidth="1"/>
    <col min="37" max="37" width="10.85546875" bestFit="1" customWidth="1"/>
    <col min="38" max="38" width="10.7109375" bestFit="1" customWidth="1"/>
    <col min="39" max="39" width="8.5703125" bestFit="1" customWidth="1"/>
    <col min="41" max="41" width="11" style="7" bestFit="1" customWidth="1"/>
    <col min="42" max="42" width="14" bestFit="1" customWidth="1"/>
    <col min="43" max="43" width="16.5703125" bestFit="1" customWidth="1"/>
    <col min="44" max="44" width="10.7109375" bestFit="1" customWidth="1"/>
    <col min="45" max="45" width="10.85546875" bestFit="1" customWidth="1"/>
    <col min="49" max="49" width="11" style="7" bestFit="1" customWidth="1"/>
    <col min="50" max="50" width="14" bestFit="1" customWidth="1"/>
    <col min="51" max="51" width="14.42578125" bestFit="1" customWidth="1"/>
    <col min="52" max="52" width="11" customWidth="1"/>
    <col min="53" max="53" width="10.85546875" bestFit="1" customWidth="1"/>
    <col min="54" max="54" width="10.7109375" bestFit="1" customWidth="1"/>
    <col min="57" max="57" width="11" style="7" bestFit="1" customWidth="1"/>
    <col min="58" max="58" width="15.28515625" customWidth="1"/>
    <col min="59" max="59" width="24.140625" bestFit="1" customWidth="1"/>
    <col min="60" max="60" width="10.7109375" bestFit="1" customWidth="1"/>
    <col min="61" max="61" width="10.85546875" bestFit="1" customWidth="1"/>
    <col min="62" max="62" width="10.7109375" bestFit="1" customWidth="1"/>
    <col min="65" max="65" width="10.5703125" style="7" bestFit="1" customWidth="1"/>
    <col min="66" max="66" width="14" bestFit="1" customWidth="1"/>
    <col min="67" max="67" width="14.42578125" bestFit="1" customWidth="1"/>
    <col min="68" max="68" width="10.7109375" bestFit="1" customWidth="1"/>
    <col min="69" max="69" width="10.85546875" bestFit="1" customWidth="1"/>
    <col min="70" max="70" width="10.7109375" bestFit="1" customWidth="1"/>
    <col min="73" max="73" width="12.28515625" style="7" bestFit="1" customWidth="1"/>
    <col min="74" max="74" width="14" bestFit="1" customWidth="1"/>
    <col min="75" max="75" width="14.42578125" bestFit="1" customWidth="1"/>
    <col min="76" max="76" width="10.7109375" bestFit="1" customWidth="1"/>
    <col min="77" max="77" width="10.85546875" bestFit="1" customWidth="1"/>
    <col min="78" max="78" width="10.7109375" bestFit="1" customWidth="1"/>
    <col min="81" max="81" width="12.140625" style="7" bestFit="1" customWidth="1"/>
    <col min="82" max="82" width="14" bestFit="1" customWidth="1"/>
    <col min="83" max="83" width="14.42578125" bestFit="1" customWidth="1"/>
    <col min="84" max="84" width="10.7109375" bestFit="1" customWidth="1"/>
    <col min="85" max="85" width="10.85546875" bestFit="1" customWidth="1"/>
    <col min="86" max="86" width="10.7109375" bestFit="1" customWidth="1"/>
    <col min="89" max="89" width="12.28515625" style="7" bestFit="1" customWidth="1"/>
    <col min="90" max="90" width="14" bestFit="1" customWidth="1"/>
    <col min="91" max="91" width="19.140625" bestFit="1" customWidth="1"/>
    <col min="92" max="92" width="10.7109375" bestFit="1" customWidth="1"/>
    <col min="93" max="93" width="10.85546875" bestFit="1" customWidth="1"/>
    <col min="94" max="94" width="10.7109375" bestFit="1" customWidth="1"/>
  </cols>
  <sheetData>
    <row r="1" spans="1:93" ht="31.5">
      <c r="A1" s="110" t="s">
        <v>79</v>
      </c>
      <c r="B1" s="110"/>
      <c r="C1" s="110"/>
      <c r="D1" s="110"/>
      <c r="E1" s="110"/>
      <c r="I1" s="119" t="s">
        <v>90</v>
      </c>
      <c r="J1" s="119"/>
      <c r="K1" s="119"/>
      <c r="L1" s="119"/>
      <c r="M1" s="119"/>
      <c r="Q1" s="119" t="s">
        <v>92</v>
      </c>
      <c r="R1" s="119"/>
      <c r="S1" s="119"/>
      <c r="T1" s="119"/>
      <c r="U1" s="119"/>
      <c r="Y1" s="119" t="s">
        <v>115</v>
      </c>
      <c r="Z1" s="119"/>
      <c r="AA1" s="119"/>
      <c r="AB1" s="119"/>
      <c r="AC1" s="119"/>
      <c r="AG1" s="119" t="s">
        <v>133</v>
      </c>
      <c r="AH1" s="119"/>
      <c r="AI1" s="119"/>
      <c r="AJ1" s="119"/>
      <c r="AK1" s="119"/>
      <c r="AO1" s="119" t="s">
        <v>145</v>
      </c>
      <c r="AP1" s="119"/>
      <c r="AQ1" s="119"/>
      <c r="AR1" s="119"/>
      <c r="AS1" s="119"/>
      <c r="AW1" s="119" t="s">
        <v>153</v>
      </c>
      <c r="AX1" s="119"/>
      <c r="AY1" s="119"/>
      <c r="AZ1" s="119"/>
      <c r="BA1" s="119"/>
      <c r="BE1" s="119" t="s">
        <v>154</v>
      </c>
      <c r="BF1" s="119"/>
      <c r="BG1" s="119"/>
      <c r="BH1" s="119"/>
      <c r="BI1" s="119"/>
      <c r="BM1" s="119" t="s">
        <v>155</v>
      </c>
      <c r="BN1" s="119"/>
      <c r="BO1" s="119"/>
      <c r="BP1" s="119"/>
      <c r="BQ1" s="119"/>
      <c r="BU1" s="119" t="s">
        <v>156</v>
      </c>
      <c r="BV1" s="119"/>
      <c r="BW1" s="119"/>
      <c r="BX1" s="119"/>
      <c r="BY1" s="119"/>
      <c r="CC1" s="119" t="s">
        <v>157</v>
      </c>
      <c r="CD1" s="119"/>
      <c r="CE1" s="119"/>
      <c r="CF1" s="119"/>
      <c r="CG1" s="119"/>
      <c r="CK1" s="110" t="s">
        <v>158</v>
      </c>
      <c r="CL1" s="110"/>
      <c r="CM1" s="110"/>
      <c r="CN1" s="110"/>
      <c r="CO1" s="110"/>
    </row>
    <row r="2" spans="1:93" ht="27.75" customHeight="1">
      <c r="A2" s="13" t="s">
        <v>0</v>
      </c>
      <c r="B2" s="14" t="s">
        <v>1</v>
      </c>
      <c r="C2" s="14" t="s">
        <v>2</v>
      </c>
      <c r="D2" s="15" t="s">
        <v>3</v>
      </c>
      <c r="E2" s="16" t="s">
        <v>4</v>
      </c>
      <c r="I2" s="37" t="s">
        <v>0</v>
      </c>
      <c r="J2" s="14" t="s">
        <v>1</v>
      </c>
      <c r="K2" s="14" t="s">
        <v>2</v>
      </c>
      <c r="L2" s="15" t="s">
        <v>3</v>
      </c>
      <c r="M2" s="16" t="s">
        <v>4</v>
      </c>
      <c r="Q2" s="37" t="s">
        <v>0</v>
      </c>
      <c r="R2" s="14" t="s">
        <v>1</v>
      </c>
      <c r="S2" s="14" t="s">
        <v>2</v>
      </c>
      <c r="T2" s="15" t="s">
        <v>3</v>
      </c>
      <c r="U2" s="16" t="s">
        <v>4</v>
      </c>
      <c r="Y2" s="37" t="s">
        <v>0</v>
      </c>
      <c r="Z2" s="14" t="s">
        <v>1</v>
      </c>
      <c r="AA2" s="14" t="s">
        <v>2</v>
      </c>
      <c r="AB2" s="15" t="s">
        <v>3</v>
      </c>
      <c r="AC2" s="16" t="s">
        <v>4</v>
      </c>
      <c r="AG2" s="37" t="s">
        <v>0</v>
      </c>
      <c r="AH2" s="14" t="s">
        <v>1</v>
      </c>
      <c r="AI2" s="14" t="s">
        <v>2</v>
      </c>
      <c r="AJ2" s="15" t="s">
        <v>3</v>
      </c>
      <c r="AK2" s="16" t="s">
        <v>4</v>
      </c>
      <c r="AO2" s="37" t="s">
        <v>0</v>
      </c>
      <c r="AP2" s="14" t="s">
        <v>1</v>
      </c>
      <c r="AQ2" s="14" t="s">
        <v>2</v>
      </c>
      <c r="AR2" s="15" t="s">
        <v>3</v>
      </c>
      <c r="AS2" s="16" t="s">
        <v>4</v>
      </c>
      <c r="AW2" s="37" t="s">
        <v>0</v>
      </c>
      <c r="AX2" s="14" t="s">
        <v>1</v>
      </c>
      <c r="AY2" s="14" t="s">
        <v>2</v>
      </c>
      <c r="AZ2" s="15" t="s">
        <v>3</v>
      </c>
      <c r="BA2" s="16" t="s">
        <v>4</v>
      </c>
      <c r="BE2" s="37" t="s">
        <v>0</v>
      </c>
      <c r="BF2" s="14" t="s">
        <v>1</v>
      </c>
      <c r="BG2" s="14" t="s">
        <v>2</v>
      </c>
      <c r="BH2" s="15" t="s">
        <v>3</v>
      </c>
      <c r="BI2" s="16" t="s">
        <v>4</v>
      </c>
      <c r="BM2" s="43" t="s">
        <v>0</v>
      </c>
      <c r="BN2" s="44" t="s">
        <v>1</v>
      </c>
      <c r="BO2" s="44" t="s">
        <v>2</v>
      </c>
      <c r="BP2" s="45" t="s">
        <v>3</v>
      </c>
      <c r="BQ2" s="46" t="s">
        <v>4</v>
      </c>
      <c r="BU2" s="43" t="s">
        <v>0</v>
      </c>
      <c r="BV2" s="44" t="s">
        <v>1</v>
      </c>
      <c r="BW2" s="44" t="s">
        <v>2</v>
      </c>
      <c r="BX2" s="45" t="s">
        <v>3</v>
      </c>
      <c r="BY2" s="46" t="s">
        <v>4</v>
      </c>
      <c r="CC2" s="43" t="s">
        <v>0</v>
      </c>
      <c r="CD2" s="44" t="s">
        <v>1</v>
      </c>
      <c r="CE2" s="44" t="s">
        <v>2</v>
      </c>
      <c r="CF2" s="45" t="s">
        <v>3</v>
      </c>
      <c r="CG2" s="46" t="s">
        <v>4</v>
      </c>
      <c r="CK2" s="37" t="s">
        <v>0</v>
      </c>
      <c r="CL2" s="14" t="s">
        <v>1</v>
      </c>
      <c r="CM2" s="14" t="s">
        <v>2</v>
      </c>
      <c r="CN2" s="15" t="s">
        <v>3</v>
      </c>
      <c r="CO2" s="16" t="s">
        <v>4</v>
      </c>
    </row>
    <row r="3" spans="1:93">
      <c r="A3" s="8" t="s">
        <v>5</v>
      </c>
      <c r="B3" s="4" t="s">
        <v>6</v>
      </c>
      <c r="C3" s="4" t="s">
        <v>7</v>
      </c>
      <c r="D3" s="5"/>
      <c r="E3" s="9">
        <v>2028</v>
      </c>
      <c r="I3" s="47" t="s">
        <v>51</v>
      </c>
      <c r="J3" s="4" t="s">
        <v>9</v>
      </c>
      <c r="K3" s="4" t="s">
        <v>91</v>
      </c>
      <c r="L3" s="5">
        <v>3200</v>
      </c>
      <c r="M3" s="9">
        <v>387</v>
      </c>
      <c r="Q3" s="47">
        <v>45717</v>
      </c>
      <c r="R3" s="4" t="s">
        <v>37</v>
      </c>
      <c r="S3" s="4" t="s">
        <v>94</v>
      </c>
      <c r="T3" s="5"/>
      <c r="U3" s="9">
        <v>5000</v>
      </c>
      <c r="Y3" s="47">
        <v>45748</v>
      </c>
      <c r="Z3" s="4" t="s">
        <v>28</v>
      </c>
      <c r="AA3" s="4" t="s">
        <v>17</v>
      </c>
      <c r="AB3" s="5"/>
      <c r="AC3" s="9">
        <v>1900</v>
      </c>
      <c r="AG3" s="47">
        <v>45778</v>
      </c>
      <c r="AH3" s="4" t="s">
        <v>9</v>
      </c>
      <c r="AI3" s="4" t="s">
        <v>134</v>
      </c>
      <c r="AJ3" s="5"/>
      <c r="AK3" s="9">
        <v>3500</v>
      </c>
      <c r="AO3" s="47">
        <v>45809</v>
      </c>
      <c r="AP3" s="4" t="s">
        <v>28</v>
      </c>
      <c r="AQ3" s="4" t="s">
        <v>17</v>
      </c>
      <c r="AR3" s="5"/>
      <c r="AS3" s="9">
        <v>1500</v>
      </c>
      <c r="AW3" s="47">
        <v>45839</v>
      </c>
      <c r="AX3" s="4" t="s">
        <v>28</v>
      </c>
      <c r="AY3" s="4" t="s">
        <v>17</v>
      </c>
      <c r="AZ3" s="5"/>
      <c r="BA3" s="9">
        <v>1900</v>
      </c>
      <c r="BE3" s="40">
        <v>45870</v>
      </c>
      <c r="BF3" s="41" t="s">
        <v>25</v>
      </c>
      <c r="BG3" s="41" t="s">
        <v>172</v>
      </c>
      <c r="BH3" s="41"/>
      <c r="BI3" s="42">
        <v>12000</v>
      </c>
      <c r="BM3" s="31">
        <v>45901</v>
      </c>
      <c r="BN3" s="32" t="s">
        <v>37</v>
      </c>
      <c r="BO3" s="32" t="s">
        <v>183</v>
      </c>
      <c r="BP3" s="32">
        <v>900</v>
      </c>
      <c r="BQ3" s="33">
        <v>5000</v>
      </c>
      <c r="BU3" s="31">
        <v>45931</v>
      </c>
      <c r="BV3" s="32" t="s">
        <v>28</v>
      </c>
      <c r="BW3" s="32" t="s">
        <v>17</v>
      </c>
      <c r="BX3" s="32"/>
      <c r="BY3" s="33">
        <v>1600</v>
      </c>
      <c r="CC3" s="31">
        <v>45962</v>
      </c>
      <c r="CD3" s="32" t="s">
        <v>28</v>
      </c>
      <c r="CE3" s="32" t="s">
        <v>17</v>
      </c>
      <c r="CF3" s="32"/>
      <c r="CG3" s="33">
        <v>1950</v>
      </c>
      <c r="CK3" s="31">
        <v>45992</v>
      </c>
      <c r="CL3" s="32" t="s">
        <v>6</v>
      </c>
      <c r="CM3" s="32" t="s">
        <v>194</v>
      </c>
      <c r="CN3" s="32"/>
      <c r="CO3" s="33">
        <v>8000</v>
      </c>
    </row>
    <row r="4" spans="1:93">
      <c r="A4" s="8" t="s">
        <v>8</v>
      </c>
      <c r="B4" s="4" t="s">
        <v>9</v>
      </c>
      <c r="C4" s="4" t="s">
        <v>10</v>
      </c>
      <c r="D4" s="5"/>
      <c r="E4" s="9">
        <v>669</v>
      </c>
      <c r="I4" s="47" t="s">
        <v>52</v>
      </c>
      <c r="J4" s="4" t="s">
        <v>9</v>
      </c>
      <c r="K4" s="4" t="s">
        <v>17</v>
      </c>
      <c r="L4" s="5"/>
      <c r="M4" s="9">
        <v>1290</v>
      </c>
      <c r="Q4" s="47">
        <v>45718</v>
      </c>
      <c r="R4" s="4" t="s">
        <v>28</v>
      </c>
      <c r="S4" s="4" t="s">
        <v>17</v>
      </c>
      <c r="T4" s="5"/>
      <c r="U4" s="9">
        <v>1450</v>
      </c>
      <c r="Y4" s="47">
        <v>45749</v>
      </c>
      <c r="Z4" s="4" t="s">
        <v>12</v>
      </c>
      <c r="AA4" s="4" t="s">
        <v>95</v>
      </c>
      <c r="AB4" s="5"/>
      <c r="AC4" s="9">
        <v>15000</v>
      </c>
      <c r="AG4" s="47">
        <v>45779</v>
      </c>
      <c r="AH4" s="4" t="s">
        <v>12</v>
      </c>
      <c r="AI4" s="4" t="s">
        <v>95</v>
      </c>
      <c r="AJ4" s="5"/>
      <c r="AK4" s="9">
        <v>15000</v>
      </c>
      <c r="AO4" s="47">
        <v>45810</v>
      </c>
      <c r="AP4" s="4" t="s">
        <v>12</v>
      </c>
      <c r="AQ4" s="4" t="s">
        <v>95</v>
      </c>
      <c r="AR4" s="5"/>
      <c r="AS4" s="9">
        <v>15000</v>
      </c>
      <c r="AW4" s="47">
        <v>45840</v>
      </c>
      <c r="AX4" s="4" t="s">
        <v>12</v>
      </c>
      <c r="AY4" s="4" t="s">
        <v>95</v>
      </c>
      <c r="AZ4" s="5"/>
      <c r="BA4" s="9">
        <v>15000</v>
      </c>
      <c r="BE4" s="31">
        <v>45871</v>
      </c>
      <c r="BF4" s="32" t="s">
        <v>12</v>
      </c>
      <c r="BG4" s="32" t="s">
        <v>95</v>
      </c>
      <c r="BH4" s="32"/>
      <c r="BI4" s="33">
        <v>15000</v>
      </c>
      <c r="BM4" s="31">
        <v>45902</v>
      </c>
      <c r="BN4" s="32" t="s">
        <v>12</v>
      </c>
      <c r="BO4" s="32" t="s">
        <v>95</v>
      </c>
      <c r="BP4" s="32"/>
      <c r="BQ4" s="33">
        <v>15000</v>
      </c>
      <c r="BU4" s="31">
        <v>45932</v>
      </c>
      <c r="BV4" s="32" t="s">
        <v>12</v>
      </c>
      <c r="BW4" s="32" t="s">
        <v>95</v>
      </c>
      <c r="BX4" s="32">
        <v>26530</v>
      </c>
      <c r="BY4" s="33">
        <v>5000</v>
      </c>
      <c r="CC4" s="31">
        <v>45963</v>
      </c>
      <c r="CD4" s="32" t="s">
        <v>12</v>
      </c>
      <c r="CE4" s="32" t="s">
        <v>95</v>
      </c>
      <c r="CF4" s="32"/>
      <c r="CG4" s="33">
        <v>15000</v>
      </c>
      <c r="CK4" s="31">
        <v>45993</v>
      </c>
      <c r="CL4" s="32" t="s">
        <v>12</v>
      </c>
      <c r="CM4" s="32" t="s">
        <v>95</v>
      </c>
      <c r="CN4" s="32">
        <v>23000</v>
      </c>
      <c r="CO4" s="33">
        <v>500</v>
      </c>
    </row>
    <row r="5" spans="1:93">
      <c r="A5" s="8" t="s">
        <v>11</v>
      </c>
      <c r="B5" s="4" t="s">
        <v>12</v>
      </c>
      <c r="C5" s="4" t="s">
        <v>13</v>
      </c>
      <c r="D5" s="5"/>
      <c r="E5" s="9">
        <v>1610</v>
      </c>
      <c r="I5" s="47" t="s">
        <v>53</v>
      </c>
      <c r="J5" s="4" t="s">
        <v>12</v>
      </c>
      <c r="K5" s="4" t="s">
        <v>7</v>
      </c>
      <c r="L5" s="5"/>
      <c r="M5" s="9">
        <v>147</v>
      </c>
      <c r="Q5" s="47">
        <v>45719</v>
      </c>
      <c r="R5" s="4" t="s">
        <v>12</v>
      </c>
      <c r="S5" s="4" t="s">
        <v>95</v>
      </c>
      <c r="T5" s="5"/>
      <c r="U5" s="9">
        <v>15000</v>
      </c>
      <c r="Y5" s="47">
        <v>45750</v>
      </c>
      <c r="Z5" s="4" t="s">
        <v>37</v>
      </c>
      <c r="AA5" s="4" t="s">
        <v>19</v>
      </c>
      <c r="AB5" s="5"/>
      <c r="AC5" s="9">
        <v>750</v>
      </c>
      <c r="AG5" s="47">
        <v>45780</v>
      </c>
      <c r="AH5" s="4" t="s">
        <v>28</v>
      </c>
      <c r="AI5" s="4" t="s">
        <v>17</v>
      </c>
      <c r="AJ5" s="5"/>
      <c r="AK5" s="9">
        <v>1800</v>
      </c>
      <c r="AO5" s="47">
        <v>45811</v>
      </c>
      <c r="AP5" s="4" t="s">
        <v>25</v>
      </c>
      <c r="AQ5" s="4" t="s">
        <v>10</v>
      </c>
      <c r="AR5" s="5"/>
      <c r="AS5" s="9">
        <v>100</v>
      </c>
      <c r="AW5" s="47">
        <v>45841</v>
      </c>
      <c r="AX5" s="4" t="s">
        <v>21</v>
      </c>
      <c r="AY5" s="4" t="s">
        <v>108</v>
      </c>
      <c r="AZ5" s="5"/>
      <c r="BA5" s="9">
        <v>1800</v>
      </c>
      <c r="BE5" s="31">
        <v>45872</v>
      </c>
      <c r="BF5" s="32" t="s">
        <v>28</v>
      </c>
      <c r="BG5" s="32" t="s">
        <v>17</v>
      </c>
      <c r="BH5" s="32"/>
      <c r="BI5" s="33">
        <v>1700</v>
      </c>
      <c r="BM5" s="31">
        <v>45903</v>
      </c>
      <c r="BN5" s="32" t="s">
        <v>28</v>
      </c>
      <c r="BO5" s="32" t="s">
        <v>17</v>
      </c>
      <c r="BP5" s="32"/>
      <c r="BQ5" s="33">
        <v>1850</v>
      </c>
      <c r="BU5" s="31">
        <v>45933</v>
      </c>
      <c r="BV5" s="32" t="s">
        <v>21</v>
      </c>
      <c r="BW5" s="32" t="s">
        <v>123</v>
      </c>
      <c r="BX5" s="32"/>
      <c r="BY5" s="33">
        <v>900</v>
      </c>
      <c r="CC5" s="31">
        <v>45964</v>
      </c>
      <c r="CD5" s="32" t="s">
        <v>6</v>
      </c>
      <c r="CE5" s="32" t="s">
        <v>117</v>
      </c>
      <c r="CF5" s="32"/>
      <c r="CG5" s="33">
        <v>2000</v>
      </c>
      <c r="CK5" s="31">
        <v>45994</v>
      </c>
      <c r="CL5" s="32" t="s">
        <v>28</v>
      </c>
      <c r="CM5" s="32" t="s">
        <v>17</v>
      </c>
      <c r="CN5" s="32"/>
      <c r="CO5" s="33">
        <v>2800</v>
      </c>
    </row>
    <row r="6" spans="1:93">
      <c r="A6" s="8" t="s">
        <v>14</v>
      </c>
      <c r="B6" s="4" t="s">
        <v>6</v>
      </c>
      <c r="C6" s="4" t="s">
        <v>15</v>
      </c>
      <c r="D6" s="5"/>
      <c r="E6" s="9">
        <v>1383</v>
      </c>
      <c r="I6" s="47" t="s">
        <v>54</v>
      </c>
      <c r="J6" s="4" t="s">
        <v>12</v>
      </c>
      <c r="K6" s="4" t="s">
        <v>7</v>
      </c>
      <c r="L6" s="5"/>
      <c r="M6" s="9">
        <v>2200</v>
      </c>
      <c r="Q6" s="47">
        <v>45720</v>
      </c>
      <c r="R6" s="4" t="s">
        <v>25</v>
      </c>
      <c r="S6" s="4" t="s">
        <v>10</v>
      </c>
      <c r="T6" s="5"/>
      <c r="U6" s="9">
        <v>150</v>
      </c>
      <c r="Y6" s="47">
        <v>45751</v>
      </c>
      <c r="Z6" s="4" t="s">
        <v>25</v>
      </c>
      <c r="AA6" s="4" t="s">
        <v>116</v>
      </c>
      <c r="AB6" s="5"/>
      <c r="AC6" s="9">
        <v>1200</v>
      </c>
      <c r="AG6" s="47">
        <v>45781</v>
      </c>
      <c r="AH6" s="4" t="s">
        <v>6</v>
      </c>
      <c r="AI6" s="4" t="s">
        <v>135</v>
      </c>
      <c r="AJ6" s="5"/>
      <c r="AK6" s="9">
        <v>1200</v>
      </c>
      <c r="AO6" s="47">
        <v>45812</v>
      </c>
      <c r="AP6" s="4" t="s">
        <v>37</v>
      </c>
      <c r="AQ6" s="4" t="s">
        <v>146</v>
      </c>
      <c r="AR6" s="5"/>
      <c r="AS6" s="9">
        <v>500</v>
      </c>
      <c r="AW6" s="47">
        <v>45842</v>
      </c>
      <c r="AX6" s="4" t="s">
        <v>25</v>
      </c>
      <c r="AY6" s="4" t="s">
        <v>98</v>
      </c>
      <c r="AZ6" s="5"/>
      <c r="BA6" s="9">
        <v>2200</v>
      </c>
      <c r="BE6" s="31">
        <v>45873</v>
      </c>
      <c r="BF6" s="32" t="s">
        <v>6</v>
      </c>
      <c r="BG6" s="32" t="s">
        <v>173</v>
      </c>
      <c r="BH6" s="32"/>
      <c r="BI6" s="33">
        <v>4000</v>
      </c>
      <c r="BM6" s="31">
        <v>45904</v>
      </c>
      <c r="BN6" s="32" t="s">
        <v>25</v>
      </c>
      <c r="BO6" s="32" t="s">
        <v>116</v>
      </c>
      <c r="BP6" s="32"/>
      <c r="BQ6" s="33">
        <v>1200</v>
      </c>
      <c r="BU6" s="31">
        <v>45934</v>
      </c>
      <c r="BV6" s="32" t="s">
        <v>25</v>
      </c>
      <c r="BW6" s="32" t="s">
        <v>10</v>
      </c>
      <c r="BX6" s="32"/>
      <c r="BY6" s="33">
        <v>150</v>
      </c>
      <c r="CC6" s="31">
        <v>45965</v>
      </c>
      <c r="CD6" s="32" t="s">
        <v>25</v>
      </c>
      <c r="CE6" s="32" t="s">
        <v>10</v>
      </c>
      <c r="CF6" s="32"/>
      <c r="CG6" s="33">
        <v>150</v>
      </c>
      <c r="CK6" s="31">
        <v>45995</v>
      </c>
      <c r="CL6" s="32" t="s">
        <v>25</v>
      </c>
      <c r="CM6" s="32" t="s">
        <v>116</v>
      </c>
      <c r="CN6" s="32"/>
      <c r="CO6" s="33">
        <v>1200</v>
      </c>
    </row>
    <row r="7" spans="1:93">
      <c r="A7" s="8" t="s">
        <v>16</v>
      </c>
      <c r="B7" s="4" t="s">
        <v>9</v>
      </c>
      <c r="C7" s="4" t="s">
        <v>17</v>
      </c>
      <c r="D7" s="5"/>
      <c r="E7" s="9">
        <v>1356</v>
      </c>
      <c r="I7" s="47" t="s">
        <v>55</v>
      </c>
      <c r="J7" s="4" t="s">
        <v>6</v>
      </c>
      <c r="K7" s="4" t="s">
        <v>17</v>
      </c>
      <c r="L7" s="5"/>
      <c r="M7" s="9">
        <v>1468</v>
      </c>
      <c r="Q7" s="47">
        <v>45721</v>
      </c>
      <c r="R7" s="4" t="s">
        <v>6</v>
      </c>
      <c r="S7" s="4" t="s">
        <v>29</v>
      </c>
      <c r="T7" s="5"/>
      <c r="U7" s="9">
        <v>3500</v>
      </c>
      <c r="Y7" s="47">
        <v>45752</v>
      </c>
      <c r="Z7" s="4" t="s">
        <v>6</v>
      </c>
      <c r="AA7" s="4" t="s">
        <v>117</v>
      </c>
      <c r="AB7" s="5"/>
      <c r="AC7" s="9">
        <v>2500</v>
      </c>
      <c r="AG7" s="47">
        <v>45782</v>
      </c>
      <c r="AH7" s="4" t="s">
        <v>25</v>
      </c>
      <c r="AI7" s="4" t="s">
        <v>98</v>
      </c>
      <c r="AJ7" s="5"/>
      <c r="AK7" s="9">
        <v>2000</v>
      </c>
      <c r="AO7" s="47">
        <v>45813</v>
      </c>
      <c r="AP7" s="4" t="s">
        <v>21</v>
      </c>
      <c r="AQ7" s="4" t="s">
        <v>101</v>
      </c>
      <c r="AR7" s="5"/>
      <c r="AS7" s="9">
        <v>400</v>
      </c>
      <c r="AW7" s="47">
        <v>45843</v>
      </c>
      <c r="AX7" s="4" t="s">
        <v>6</v>
      </c>
      <c r="AY7" s="4" t="s">
        <v>29</v>
      </c>
      <c r="AZ7" s="5"/>
      <c r="BA7" s="9">
        <v>3100</v>
      </c>
      <c r="BE7" s="31">
        <v>45874</v>
      </c>
      <c r="BF7" s="32" t="s">
        <v>25</v>
      </c>
      <c r="BG7" s="32" t="s">
        <v>174</v>
      </c>
      <c r="BH7" s="32"/>
      <c r="BI7" s="33">
        <v>800</v>
      </c>
      <c r="BM7" s="31">
        <v>45905</v>
      </c>
      <c r="BN7" s="32" t="s">
        <v>6</v>
      </c>
      <c r="BO7" s="32" t="s">
        <v>184</v>
      </c>
      <c r="BP7" s="32">
        <v>5000</v>
      </c>
      <c r="BQ7" s="33">
        <v>1000</v>
      </c>
      <c r="BU7" s="31">
        <v>45935</v>
      </c>
      <c r="BV7" s="32" t="s">
        <v>6</v>
      </c>
      <c r="BW7" s="32" t="s">
        <v>187</v>
      </c>
      <c r="BX7" s="32"/>
      <c r="BY7" s="33">
        <v>1000</v>
      </c>
      <c r="CC7" s="31">
        <v>45966</v>
      </c>
      <c r="CD7" s="32" t="s">
        <v>37</v>
      </c>
      <c r="CE7" s="32" t="s">
        <v>94</v>
      </c>
      <c r="CF7" s="32">
        <v>5000</v>
      </c>
      <c r="CG7" s="33">
        <v>100</v>
      </c>
      <c r="CK7" s="31">
        <v>45996</v>
      </c>
      <c r="CL7" s="32" t="s">
        <v>9</v>
      </c>
      <c r="CM7" s="32" t="s">
        <v>195</v>
      </c>
      <c r="CN7" s="32"/>
      <c r="CO7" s="33">
        <v>4500</v>
      </c>
    </row>
    <row r="8" spans="1:93">
      <c r="A8" s="8" t="s">
        <v>18</v>
      </c>
      <c r="B8" s="4" t="s">
        <v>12</v>
      </c>
      <c r="C8" s="4" t="s">
        <v>19</v>
      </c>
      <c r="D8" s="5"/>
      <c r="E8" s="9">
        <v>721</v>
      </c>
      <c r="I8" s="47" t="s">
        <v>56</v>
      </c>
      <c r="J8" s="4" t="s">
        <v>12</v>
      </c>
      <c r="K8" s="4" t="s">
        <v>91</v>
      </c>
      <c r="L8" s="5">
        <v>30000</v>
      </c>
      <c r="M8" s="9">
        <v>1510</v>
      </c>
      <c r="Q8" s="47">
        <v>45722</v>
      </c>
      <c r="R8" s="4" t="s">
        <v>9</v>
      </c>
      <c r="S8" s="4" t="s">
        <v>15</v>
      </c>
      <c r="T8" s="5"/>
      <c r="U8" s="9">
        <v>850</v>
      </c>
      <c r="Y8" s="47">
        <v>45753</v>
      </c>
      <c r="Z8" s="4" t="s">
        <v>9</v>
      </c>
      <c r="AA8" s="4" t="s">
        <v>118</v>
      </c>
      <c r="AB8" s="5"/>
      <c r="AC8" s="9">
        <v>500</v>
      </c>
      <c r="AG8" s="47">
        <v>45783</v>
      </c>
      <c r="AH8" s="4" t="s">
        <v>21</v>
      </c>
      <c r="AI8" s="4" t="s">
        <v>108</v>
      </c>
      <c r="AJ8" s="5"/>
      <c r="AK8" s="9">
        <v>1800</v>
      </c>
      <c r="AO8" s="47">
        <v>45814</v>
      </c>
      <c r="AP8" s="4" t="s">
        <v>28</v>
      </c>
      <c r="AQ8" s="4" t="s">
        <v>113</v>
      </c>
      <c r="AR8" s="5"/>
      <c r="AS8" s="9">
        <v>800</v>
      </c>
      <c r="AW8" s="47">
        <v>45844</v>
      </c>
      <c r="AX8" s="4" t="s">
        <v>9</v>
      </c>
      <c r="AY8" s="4" t="s">
        <v>112</v>
      </c>
      <c r="AZ8" s="5">
        <v>5000</v>
      </c>
      <c r="BA8" s="9">
        <v>200</v>
      </c>
      <c r="BE8" s="31">
        <v>45875</v>
      </c>
      <c r="BF8" s="32" t="s">
        <v>9</v>
      </c>
      <c r="BG8" s="32" t="s">
        <v>175</v>
      </c>
      <c r="BH8" s="32"/>
      <c r="BI8" s="33">
        <v>1000</v>
      </c>
      <c r="BM8" s="31">
        <v>45906</v>
      </c>
      <c r="BN8" s="32" t="s">
        <v>9</v>
      </c>
      <c r="BO8" s="32" t="s">
        <v>112</v>
      </c>
      <c r="BP8" s="32"/>
      <c r="BQ8" s="33">
        <v>8000</v>
      </c>
      <c r="BU8" s="31">
        <v>45936</v>
      </c>
      <c r="BV8" s="32" t="s">
        <v>9</v>
      </c>
      <c r="BW8" s="32" t="s">
        <v>15</v>
      </c>
      <c r="BX8" s="32"/>
      <c r="BY8" s="33">
        <v>700</v>
      </c>
      <c r="CC8" s="31">
        <v>45967</v>
      </c>
      <c r="CD8" s="32" t="s">
        <v>21</v>
      </c>
      <c r="CE8" s="32" t="s">
        <v>108</v>
      </c>
      <c r="CF8" s="32"/>
      <c r="CG8" s="33">
        <v>1800</v>
      </c>
      <c r="CK8" s="31">
        <v>45997</v>
      </c>
      <c r="CL8" s="32" t="s">
        <v>21</v>
      </c>
      <c r="CM8" s="32" t="s">
        <v>13</v>
      </c>
      <c r="CN8" s="32">
        <v>1200</v>
      </c>
      <c r="CO8" s="33"/>
    </row>
    <row r="9" spans="1:93">
      <c r="A9" s="8" t="s">
        <v>20</v>
      </c>
      <c r="B9" s="4" t="s">
        <v>21</v>
      </c>
      <c r="C9" s="4" t="s">
        <v>22</v>
      </c>
      <c r="D9" s="5">
        <v>40000</v>
      </c>
      <c r="E9" s="9">
        <v>147</v>
      </c>
      <c r="I9" s="47" t="s">
        <v>57</v>
      </c>
      <c r="J9" s="4" t="s">
        <v>37</v>
      </c>
      <c r="K9" s="4" t="s">
        <v>13</v>
      </c>
      <c r="L9" s="5"/>
      <c r="M9" s="9">
        <v>230</v>
      </c>
      <c r="Q9" s="47">
        <v>45723</v>
      </c>
      <c r="R9" s="4" t="s">
        <v>21</v>
      </c>
      <c r="S9" s="4" t="s">
        <v>13</v>
      </c>
      <c r="T9" s="5">
        <v>3000</v>
      </c>
      <c r="U9" s="9">
        <v>600</v>
      </c>
      <c r="Y9" s="47">
        <v>45754</v>
      </c>
      <c r="Z9" s="4" t="s">
        <v>28</v>
      </c>
      <c r="AA9" s="4" t="s">
        <v>97</v>
      </c>
      <c r="AB9" s="5"/>
      <c r="AC9" s="9">
        <v>1850</v>
      </c>
      <c r="AG9" s="47">
        <v>45784</v>
      </c>
      <c r="AH9" s="4" t="s">
        <v>37</v>
      </c>
      <c r="AI9" s="4" t="s">
        <v>136</v>
      </c>
      <c r="AJ9" s="5"/>
      <c r="AK9" s="9">
        <v>2500</v>
      </c>
      <c r="AO9" s="47">
        <v>45815</v>
      </c>
      <c r="AP9" s="4" t="s">
        <v>6</v>
      </c>
      <c r="AQ9" s="4" t="s">
        <v>110</v>
      </c>
      <c r="AR9" s="5"/>
      <c r="AS9" s="9">
        <v>300</v>
      </c>
      <c r="AW9" s="47">
        <v>45845</v>
      </c>
      <c r="AX9" s="4" t="s">
        <v>28</v>
      </c>
      <c r="AY9" s="4" t="s">
        <v>97</v>
      </c>
      <c r="AZ9" s="5"/>
      <c r="BA9" s="9">
        <v>2300</v>
      </c>
      <c r="BE9" s="31">
        <v>45876</v>
      </c>
      <c r="BF9" s="32" t="s">
        <v>28</v>
      </c>
      <c r="BG9" s="32" t="s">
        <v>176</v>
      </c>
      <c r="BH9" s="32"/>
      <c r="BI9" s="33">
        <v>3500</v>
      </c>
      <c r="BM9" s="31">
        <v>45907</v>
      </c>
      <c r="BN9" s="32" t="s">
        <v>21</v>
      </c>
      <c r="BO9" s="32" t="s">
        <v>108</v>
      </c>
      <c r="BP9" s="32"/>
      <c r="BQ9" s="33">
        <v>3000</v>
      </c>
      <c r="BU9" s="31">
        <v>45937</v>
      </c>
      <c r="BV9" s="32" t="s">
        <v>28</v>
      </c>
      <c r="BW9" s="32" t="s">
        <v>113</v>
      </c>
      <c r="BX9" s="32"/>
      <c r="BY9" s="33">
        <v>800</v>
      </c>
      <c r="CC9" s="31">
        <v>45968</v>
      </c>
      <c r="CD9" s="32" t="s">
        <v>28</v>
      </c>
      <c r="CE9" s="32" t="s">
        <v>113</v>
      </c>
      <c r="CF9" s="32"/>
      <c r="CG9" s="33">
        <v>850</v>
      </c>
      <c r="CK9" s="31">
        <v>45998</v>
      </c>
      <c r="CL9" s="32" t="s">
        <v>28</v>
      </c>
      <c r="CM9" s="32" t="s">
        <v>97</v>
      </c>
      <c r="CN9" s="32"/>
      <c r="CO9" s="33">
        <v>3500</v>
      </c>
    </row>
    <row r="10" spans="1:93">
      <c r="A10" s="8" t="s">
        <v>23</v>
      </c>
      <c r="B10" s="4" t="s">
        <v>9</v>
      </c>
      <c r="C10" s="4" t="s">
        <v>13</v>
      </c>
      <c r="D10" s="5"/>
      <c r="E10" s="9">
        <v>2260</v>
      </c>
      <c r="I10" s="47" t="s">
        <v>58</v>
      </c>
      <c r="J10" s="4" t="s">
        <v>25</v>
      </c>
      <c r="K10" s="4" t="s">
        <v>13</v>
      </c>
      <c r="L10" s="5"/>
      <c r="M10" s="9">
        <v>1128</v>
      </c>
      <c r="Q10" s="47">
        <v>45724</v>
      </c>
      <c r="R10" s="4" t="s">
        <v>28</v>
      </c>
      <c r="S10" s="4" t="s">
        <v>17</v>
      </c>
      <c r="T10" s="5"/>
      <c r="U10" s="9">
        <v>2100</v>
      </c>
      <c r="Y10" s="47">
        <v>45755</v>
      </c>
      <c r="Z10" s="4" t="s">
        <v>21</v>
      </c>
      <c r="AA10" s="4" t="s">
        <v>13</v>
      </c>
      <c r="AB10" s="5"/>
      <c r="AC10" s="9">
        <v>800</v>
      </c>
      <c r="AG10" s="47">
        <v>45785</v>
      </c>
      <c r="AH10" s="4" t="s">
        <v>28</v>
      </c>
      <c r="AI10" s="4" t="s">
        <v>137</v>
      </c>
      <c r="AJ10" s="5"/>
      <c r="AK10" s="9">
        <v>1600</v>
      </c>
      <c r="AO10" s="47">
        <v>45816</v>
      </c>
      <c r="AP10" s="4" t="s">
        <v>12</v>
      </c>
      <c r="AQ10" s="4" t="s">
        <v>104</v>
      </c>
      <c r="AR10" s="5"/>
      <c r="AS10" s="9">
        <v>650</v>
      </c>
      <c r="AW10" s="47">
        <v>45846</v>
      </c>
      <c r="AX10" s="4" t="s">
        <v>37</v>
      </c>
      <c r="AY10" s="4" t="s">
        <v>19</v>
      </c>
      <c r="AZ10" s="5"/>
      <c r="BA10" s="9">
        <v>850</v>
      </c>
      <c r="BE10" s="31">
        <v>45877</v>
      </c>
      <c r="BF10" s="32" t="s">
        <v>21</v>
      </c>
      <c r="BG10" s="32" t="s">
        <v>177</v>
      </c>
      <c r="BH10" s="32"/>
      <c r="BI10" s="33">
        <v>1500</v>
      </c>
      <c r="BM10" s="31">
        <v>45908</v>
      </c>
      <c r="BN10" s="32" t="s">
        <v>28</v>
      </c>
      <c r="BO10" s="32" t="s">
        <v>97</v>
      </c>
      <c r="BP10" s="32"/>
      <c r="BQ10" s="33">
        <v>2200</v>
      </c>
      <c r="BU10" s="31">
        <v>45938</v>
      </c>
      <c r="BV10" s="32" t="s">
        <v>37</v>
      </c>
      <c r="BW10" s="32" t="s">
        <v>119</v>
      </c>
      <c r="BX10" s="32"/>
      <c r="BY10" s="33">
        <v>1500</v>
      </c>
      <c r="CC10" s="31">
        <v>45969</v>
      </c>
      <c r="CD10" s="32" t="s">
        <v>9</v>
      </c>
      <c r="CE10" s="32" t="s">
        <v>15</v>
      </c>
      <c r="CF10" s="32"/>
      <c r="CG10" s="33">
        <v>750</v>
      </c>
      <c r="CK10" s="31">
        <v>45999</v>
      </c>
      <c r="CL10" s="32" t="s">
        <v>37</v>
      </c>
      <c r="CM10" s="32" t="s">
        <v>19</v>
      </c>
      <c r="CN10" s="32"/>
      <c r="CO10" s="33">
        <v>800</v>
      </c>
    </row>
    <row r="11" spans="1:93">
      <c r="A11" s="8" t="s">
        <v>24</v>
      </c>
      <c r="B11" s="4" t="s">
        <v>25</v>
      </c>
      <c r="C11" s="4" t="s">
        <v>19</v>
      </c>
      <c r="D11" s="5"/>
      <c r="E11" s="9">
        <v>1391</v>
      </c>
      <c r="I11" s="47" t="s">
        <v>59</v>
      </c>
      <c r="J11" s="4" t="s">
        <v>9</v>
      </c>
      <c r="K11" s="4" t="s">
        <v>13</v>
      </c>
      <c r="L11" s="5"/>
      <c r="M11" s="9">
        <v>1593</v>
      </c>
      <c r="Q11" s="47">
        <v>45725</v>
      </c>
      <c r="R11" s="4" t="s">
        <v>12</v>
      </c>
      <c r="S11" s="4" t="s">
        <v>7</v>
      </c>
      <c r="T11" s="5"/>
      <c r="U11" s="9">
        <v>1800</v>
      </c>
      <c r="Y11" s="47">
        <v>45756</v>
      </c>
      <c r="Z11" s="4" t="s">
        <v>12</v>
      </c>
      <c r="AA11" s="4" t="s">
        <v>7</v>
      </c>
      <c r="AB11" s="5"/>
      <c r="AC11" s="9">
        <v>1500</v>
      </c>
      <c r="AG11" s="47">
        <v>45786</v>
      </c>
      <c r="AH11" s="4" t="s">
        <v>12</v>
      </c>
      <c r="AI11" s="4" t="s">
        <v>104</v>
      </c>
      <c r="AJ11" s="5"/>
      <c r="AK11" s="9">
        <v>700</v>
      </c>
      <c r="AO11" s="47">
        <v>45817</v>
      </c>
      <c r="AP11" s="4" t="s">
        <v>9</v>
      </c>
      <c r="AQ11" s="4" t="s">
        <v>15</v>
      </c>
      <c r="AR11" s="5"/>
      <c r="AS11" s="9">
        <v>700</v>
      </c>
      <c r="AW11" s="47">
        <v>45847</v>
      </c>
      <c r="AX11" s="4" t="s">
        <v>12</v>
      </c>
      <c r="AY11" s="4" t="s">
        <v>7</v>
      </c>
      <c r="AZ11" s="5"/>
      <c r="BA11" s="9">
        <v>1400</v>
      </c>
      <c r="BE11" s="31">
        <v>45878</v>
      </c>
      <c r="BF11" s="32" t="s">
        <v>6</v>
      </c>
      <c r="BG11" s="32" t="s">
        <v>178</v>
      </c>
      <c r="BH11" s="32"/>
      <c r="BI11" s="33">
        <v>2500</v>
      </c>
      <c r="BM11" s="31">
        <v>45909</v>
      </c>
      <c r="BN11" s="32" t="s">
        <v>12</v>
      </c>
      <c r="BO11" s="32" t="s">
        <v>104</v>
      </c>
      <c r="BP11" s="32"/>
      <c r="BQ11" s="33">
        <v>700</v>
      </c>
      <c r="BU11" s="31">
        <v>45939</v>
      </c>
      <c r="BV11" s="32" t="s">
        <v>12</v>
      </c>
      <c r="BW11" s="32" t="s">
        <v>7</v>
      </c>
      <c r="BX11" s="32"/>
      <c r="BY11" s="33">
        <v>4590</v>
      </c>
      <c r="CC11" s="31">
        <v>45970</v>
      </c>
      <c r="CD11" s="32" t="s">
        <v>12</v>
      </c>
      <c r="CE11" s="32" t="s">
        <v>7</v>
      </c>
      <c r="CF11" s="32"/>
      <c r="CG11" s="33">
        <v>1450</v>
      </c>
      <c r="CK11" s="31">
        <v>46000</v>
      </c>
      <c r="CL11" s="32" t="s">
        <v>12</v>
      </c>
      <c r="CM11" s="32" t="s">
        <v>7</v>
      </c>
      <c r="CN11" s="32"/>
      <c r="CO11" s="33">
        <v>1500</v>
      </c>
    </row>
    <row r="12" spans="1:93">
      <c r="A12" s="8" t="s">
        <v>26</v>
      </c>
      <c r="B12" s="4" t="s">
        <v>21</v>
      </c>
      <c r="C12" s="4" t="s">
        <v>22</v>
      </c>
      <c r="D12" s="5">
        <v>3690</v>
      </c>
      <c r="E12" s="9">
        <v>656</v>
      </c>
      <c r="I12" s="47" t="s">
        <v>60</v>
      </c>
      <c r="J12" s="4" t="s">
        <v>35</v>
      </c>
      <c r="K12" s="4" t="s">
        <v>29</v>
      </c>
      <c r="L12" s="5"/>
      <c r="M12" s="9">
        <v>2132</v>
      </c>
      <c r="Q12" s="47">
        <v>45726</v>
      </c>
      <c r="R12" s="4" t="s">
        <v>37</v>
      </c>
      <c r="S12" s="4" t="s">
        <v>19</v>
      </c>
      <c r="T12" s="5"/>
      <c r="U12" s="9">
        <v>950</v>
      </c>
      <c r="Y12" s="47">
        <v>45757</v>
      </c>
      <c r="Z12" s="4" t="s">
        <v>28</v>
      </c>
      <c r="AA12" s="4" t="s">
        <v>17</v>
      </c>
      <c r="AB12" s="5"/>
      <c r="AC12" s="9">
        <v>2200</v>
      </c>
      <c r="AG12" s="47">
        <v>45787</v>
      </c>
      <c r="AH12" s="4" t="s">
        <v>6</v>
      </c>
      <c r="AI12" s="4" t="s">
        <v>138</v>
      </c>
      <c r="AJ12" s="5"/>
      <c r="AK12" s="9">
        <v>900</v>
      </c>
      <c r="AO12" s="47">
        <v>45818</v>
      </c>
      <c r="AP12" s="4" t="s">
        <v>28</v>
      </c>
      <c r="AQ12" s="4" t="s">
        <v>17</v>
      </c>
      <c r="AR12" s="5"/>
      <c r="AS12" s="9">
        <v>2000</v>
      </c>
      <c r="AW12" s="47">
        <v>45848</v>
      </c>
      <c r="AX12" s="4" t="s">
        <v>28</v>
      </c>
      <c r="AY12" s="4" t="s">
        <v>17</v>
      </c>
      <c r="AZ12" s="5"/>
      <c r="BA12" s="9">
        <v>2500</v>
      </c>
      <c r="BE12" s="31">
        <v>45879</v>
      </c>
      <c r="BF12" s="32" t="s">
        <v>25</v>
      </c>
      <c r="BG12" s="32" t="s">
        <v>179</v>
      </c>
      <c r="BH12" s="32"/>
      <c r="BI12" s="33">
        <v>1800</v>
      </c>
      <c r="BM12" s="31">
        <v>45910</v>
      </c>
      <c r="BN12" s="32" t="s">
        <v>37</v>
      </c>
      <c r="BO12" s="32" t="s">
        <v>19</v>
      </c>
      <c r="BP12" s="32">
        <v>1600</v>
      </c>
      <c r="BQ12" s="33">
        <v>400</v>
      </c>
      <c r="BU12" s="31">
        <v>45940</v>
      </c>
      <c r="BV12" s="32" t="s">
        <v>28</v>
      </c>
      <c r="BW12" s="32" t="s">
        <v>17</v>
      </c>
      <c r="BX12" s="32"/>
      <c r="BY12" s="33">
        <v>2100</v>
      </c>
      <c r="CC12" s="31">
        <v>45971</v>
      </c>
      <c r="CD12" s="32" t="s">
        <v>28</v>
      </c>
      <c r="CE12" s="32" t="s">
        <v>17</v>
      </c>
      <c r="CF12" s="32"/>
      <c r="CG12" s="33">
        <v>2300</v>
      </c>
      <c r="CK12" s="31">
        <v>46001</v>
      </c>
      <c r="CL12" s="32" t="s">
        <v>6</v>
      </c>
      <c r="CM12" s="32" t="s">
        <v>196</v>
      </c>
      <c r="CN12" s="32"/>
      <c r="CO12" s="33">
        <v>3000</v>
      </c>
    </row>
    <row r="13" spans="1:93">
      <c r="A13" s="8" t="s">
        <v>27</v>
      </c>
      <c r="B13" s="4" t="s">
        <v>28</v>
      </c>
      <c r="C13" s="4" t="s">
        <v>29</v>
      </c>
      <c r="D13" s="5"/>
      <c r="E13" s="9">
        <v>706</v>
      </c>
      <c r="I13" s="47" t="s">
        <v>61</v>
      </c>
      <c r="J13" s="4" t="s">
        <v>28</v>
      </c>
      <c r="K13" s="4" t="s">
        <v>17</v>
      </c>
      <c r="L13" s="5"/>
      <c r="M13" s="9">
        <v>2135</v>
      </c>
      <c r="Q13" s="47">
        <v>45727</v>
      </c>
      <c r="R13" s="4" t="s">
        <v>6</v>
      </c>
      <c r="S13" s="4" t="s">
        <v>96</v>
      </c>
      <c r="T13" s="5"/>
      <c r="U13" s="9">
        <v>7000</v>
      </c>
      <c r="Y13" s="47">
        <v>45758</v>
      </c>
      <c r="Z13" s="4" t="s">
        <v>37</v>
      </c>
      <c r="AA13" s="4" t="s">
        <v>119</v>
      </c>
      <c r="AB13" s="5"/>
      <c r="AC13" s="9">
        <v>1500</v>
      </c>
      <c r="AG13" s="47">
        <v>45788</v>
      </c>
      <c r="AH13" s="4" t="s">
        <v>9</v>
      </c>
      <c r="AI13" s="4" t="s">
        <v>118</v>
      </c>
      <c r="AJ13" s="5"/>
      <c r="AK13" s="9">
        <v>500</v>
      </c>
      <c r="AO13" s="47">
        <v>45819</v>
      </c>
      <c r="AP13" s="4" t="s">
        <v>25</v>
      </c>
      <c r="AQ13" s="4" t="s">
        <v>98</v>
      </c>
      <c r="AR13" s="5"/>
      <c r="AS13" s="9">
        <v>1500</v>
      </c>
      <c r="AW13" s="47">
        <v>45849</v>
      </c>
      <c r="AX13" s="4" t="s">
        <v>6</v>
      </c>
      <c r="AY13" s="4" t="s">
        <v>166</v>
      </c>
      <c r="AZ13" s="5"/>
      <c r="BA13" s="9">
        <v>1100</v>
      </c>
      <c r="BE13" s="31">
        <v>45880</v>
      </c>
      <c r="BF13" s="32" t="s">
        <v>9</v>
      </c>
      <c r="BG13" s="32" t="s">
        <v>180</v>
      </c>
      <c r="BH13" s="32"/>
      <c r="BI13" s="33">
        <v>2000</v>
      </c>
      <c r="BM13" s="31">
        <v>45911</v>
      </c>
      <c r="BN13" s="32" t="s">
        <v>6</v>
      </c>
      <c r="BO13" s="32" t="s">
        <v>117</v>
      </c>
      <c r="BP13" s="32"/>
      <c r="BQ13" s="33">
        <v>2500</v>
      </c>
      <c r="BU13" s="31">
        <v>45941</v>
      </c>
      <c r="BV13" s="32" t="s">
        <v>25</v>
      </c>
      <c r="BW13" s="32" t="s">
        <v>125</v>
      </c>
      <c r="BX13" s="32"/>
      <c r="BY13" s="33">
        <v>400</v>
      </c>
      <c r="CC13" s="31">
        <v>45972</v>
      </c>
      <c r="CD13" s="32" t="s">
        <v>6</v>
      </c>
      <c r="CE13" s="32" t="s">
        <v>29</v>
      </c>
      <c r="CF13" s="32"/>
      <c r="CG13" s="33">
        <v>3200</v>
      </c>
      <c r="CK13" s="31">
        <v>46002</v>
      </c>
      <c r="CL13" s="32" t="s">
        <v>28</v>
      </c>
      <c r="CM13" s="32" t="s">
        <v>17</v>
      </c>
      <c r="CN13" s="32"/>
      <c r="CO13" s="33">
        <v>3200</v>
      </c>
    </row>
    <row r="14" spans="1:93">
      <c r="A14" s="8" t="s">
        <v>30</v>
      </c>
      <c r="B14" s="4" t="s">
        <v>21</v>
      </c>
      <c r="C14" s="4" t="s">
        <v>19</v>
      </c>
      <c r="D14" s="5"/>
      <c r="E14" s="9">
        <v>1109</v>
      </c>
      <c r="I14" s="47" t="s">
        <v>62</v>
      </c>
      <c r="J14" s="4" t="s">
        <v>6</v>
      </c>
      <c r="K14" s="4" t="s">
        <v>91</v>
      </c>
      <c r="L14" s="5">
        <v>50</v>
      </c>
      <c r="M14" s="9">
        <v>2163</v>
      </c>
      <c r="Q14" s="47">
        <v>45728</v>
      </c>
      <c r="R14" s="4" t="s">
        <v>28</v>
      </c>
      <c r="S14" s="4" t="s">
        <v>97</v>
      </c>
      <c r="T14" s="5"/>
      <c r="U14" s="9">
        <v>1750</v>
      </c>
      <c r="Y14" s="47">
        <v>45759</v>
      </c>
      <c r="Z14" s="4" t="s">
        <v>6</v>
      </c>
      <c r="AA14" s="4" t="s">
        <v>120</v>
      </c>
      <c r="AB14" s="5"/>
      <c r="AC14" s="9">
        <v>1100</v>
      </c>
      <c r="AG14" s="47">
        <v>45789</v>
      </c>
      <c r="AH14" s="4" t="s">
        <v>28</v>
      </c>
      <c r="AI14" s="4" t="s">
        <v>17</v>
      </c>
      <c r="AJ14" s="5"/>
      <c r="AK14" s="9">
        <v>2400</v>
      </c>
      <c r="AO14" s="47">
        <v>45820</v>
      </c>
      <c r="AP14" s="4" t="s">
        <v>37</v>
      </c>
      <c r="AQ14" s="4" t="s">
        <v>19</v>
      </c>
      <c r="AR14" s="5"/>
      <c r="AS14" s="9">
        <v>600</v>
      </c>
      <c r="AW14" s="47">
        <v>45850</v>
      </c>
      <c r="AX14" s="4" t="s">
        <v>25</v>
      </c>
      <c r="AY14" s="4" t="s">
        <v>167</v>
      </c>
      <c r="AZ14" s="5"/>
      <c r="BA14" s="9">
        <v>700</v>
      </c>
      <c r="BE14" s="31">
        <v>45881</v>
      </c>
      <c r="BF14" s="32" t="s">
        <v>28</v>
      </c>
      <c r="BG14" s="32" t="s">
        <v>17</v>
      </c>
      <c r="BH14" s="32"/>
      <c r="BI14" s="33">
        <v>2200</v>
      </c>
      <c r="BM14" s="31">
        <v>45912</v>
      </c>
      <c r="BN14" s="32" t="s">
        <v>25</v>
      </c>
      <c r="BO14" s="32" t="s">
        <v>125</v>
      </c>
      <c r="BP14" s="32"/>
      <c r="BQ14" s="33">
        <v>4580</v>
      </c>
      <c r="BU14" s="31">
        <v>45942</v>
      </c>
      <c r="BV14" s="32" t="s">
        <v>6</v>
      </c>
      <c r="BW14" s="32" t="s">
        <v>110</v>
      </c>
      <c r="BX14" s="32"/>
      <c r="BY14" s="33">
        <v>300</v>
      </c>
      <c r="CC14" s="31">
        <v>45973</v>
      </c>
      <c r="CD14" s="32" t="s">
        <v>25</v>
      </c>
      <c r="CE14" s="32" t="s">
        <v>98</v>
      </c>
      <c r="CF14" s="32"/>
      <c r="CG14" s="33">
        <v>2100</v>
      </c>
      <c r="CK14" s="31">
        <v>46003</v>
      </c>
      <c r="CL14" s="32" t="s">
        <v>25</v>
      </c>
      <c r="CM14" s="32" t="s">
        <v>98</v>
      </c>
      <c r="CN14" s="32"/>
      <c r="CO14" s="33">
        <v>2500</v>
      </c>
    </row>
    <row r="15" spans="1:93">
      <c r="A15" s="8" t="s">
        <v>31</v>
      </c>
      <c r="B15" s="4" t="s">
        <v>28</v>
      </c>
      <c r="C15" s="4" t="s">
        <v>7</v>
      </c>
      <c r="D15" s="5"/>
      <c r="E15" s="9">
        <v>114</v>
      </c>
      <c r="I15" s="47" t="s">
        <v>63</v>
      </c>
      <c r="J15" s="4" t="s">
        <v>37</v>
      </c>
      <c r="K15" s="4" t="s">
        <v>10</v>
      </c>
      <c r="L15" s="5"/>
      <c r="M15" s="9">
        <v>2188</v>
      </c>
      <c r="Q15" s="47">
        <v>45729</v>
      </c>
      <c r="R15" s="4" t="s">
        <v>25</v>
      </c>
      <c r="S15" s="4" t="s">
        <v>98</v>
      </c>
      <c r="T15" s="5"/>
      <c r="U15" s="9">
        <v>2500</v>
      </c>
      <c r="Y15" s="47">
        <v>45760</v>
      </c>
      <c r="Z15" s="4" t="s">
        <v>25</v>
      </c>
      <c r="AA15" s="4" t="s">
        <v>121</v>
      </c>
      <c r="AB15" s="5"/>
      <c r="AC15" s="9">
        <v>250</v>
      </c>
      <c r="AG15" s="47">
        <v>45790</v>
      </c>
      <c r="AH15" s="4" t="s">
        <v>25</v>
      </c>
      <c r="AI15" s="4" t="s">
        <v>10</v>
      </c>
      <c r="AJ15" s="5"/>
      <c r="AK15" s="9">
        <v>150</v>
      </c>
      <c r="AO15" s="47">
        <v>45821</v>
      </c>
      <c r="AP15" s="4" t="s">
        <v>21</v>
      </c>
      <c r="AQ15" s="4" t="s">
        <v>123</v>
      </c>
      <c r="AR15" s="5"/>
      <c r="AS15" s="9">
        <v>900</v>
      </c>
      <c r="AW15" s="47">
        <v>45851</v>
      </c>
      <c r="AX15" s="4" t="s">
        <v>9</v>
      </c>
      <c r="AY15" s="4" t="s">
        <v>15</v>
      </c>
      <c r="AZ15" s="5"/>
      <c r="BA15" s="9">
        <v>800</v>
      </c>
      <c r="BE15" s="31">
        <v>45882</v>
      </c>
      <c r="BF15" s="32" t="s">
        <v>12</v>
      </c>
      <c r="BG15" s="32" t="s">
        <v>131</v>
      </c>
      <c r="BH15" s="32"/>
      <c r="BI15" s="33">
        <v>700</v>
      </c>
      <c r="BM15" s="31">
        <v>45913</v>
      </c>
      <c r="BN15" s="32" t="s">
        <v>9</v>
      </c>
      <c r="BO15" s="32" t="s">
        <v>15</v>
      </c>
      <c r="BP15" s="32"/>
      <c r="BQ15" s="33">
        <v>950</v>
      </c>
      <c r="BU15" s="31">
        <v>45943</v>
      </c>
      <c r="BV15" s="32" t="s">
        <v>21</v>
      </c>
      <c r="BW15" s="32" t="s">
        <v>101</v>
      </c>
      <c r="BX15" s="32"/>
      <c r="BY15" s="33">
        <v>500</v>
      </c>
      <c r="CC15" s="31">
        <v>45974</v>
      </c>
      <c r="CD15" s="32" t="s">
        <v>37</v>
      </c>
      <c r="CE15" s="32" t="s">
        <v>19</v>
      </c>
      <c r="CF15" s="32"/>
      <c r="CG15" s="33">
        <v>900</v>
      </c>
      <c r="CK15" s="31">
        <v>46004</v>
      </c>
      <c r="CL15" s="32" t="s">
        <v>9</v>
      </c>
      <c r="CM15" s="32" t="s">
        <v>141</v>
      </c>
      <c r="CN15" s="32"/>
      <c r="CO15" s="33">
        <v>2500</v>
      </c>
    </row>
    <row r="16" spans="1:93">
      <c r="A16" s="8" t="s">
        <v>32</v>
      </c>
      <c r="B16" s="4" t="s">
        <v>21</v>
      </c>
      <c r="C16" s="4" t="s">
        <v>15</v>
      </c>
      <c r="D16" s="5"/>
      <c r="E16" s="9">
        <v>605</v>
      </c>
      <c r="I16" s="47" t="s">
        <v>64</v>
      </c>
      <c r="J16" s="4" t="s">
        <v>6</v>
      </c>
      <c r="K16" s="4" t="s">
        <v>17</v>
      </c>
      <c r="L16" s="5"/>
      <c r="M16" s="9">
        <v>446</v>
      </c>
      <c r="Q16" s="47">
        <v>45730</v>
      </c>
      <c r="R16" s="4" t="s">
        <v>9</v>
      </c>
      <c r="S16" s="4" t="s">
        <v>99</v>
      </c>
      <c r="T16" s="5"/>
      <c r="U16" s="9">
        <v>4500</v>
      </c>
      <c r="Y16" s="47">
        <v>45761</v>
      </c>
      <c r="Z16" s="4" t="s">
        <v>9</v>
      </c>
      <c r="AA16" s="4" t="s">
        <v>15</v>
      </c>
      <c r="AB16" s="5"/>
      <c r="AC16" s="9">
        <v>700</v>
      </c>
      <c r="AG16" s="47">
        <v>45791</v>
      </c>
      <c r="AH16" s="4" t="s">
        <v>35</v>
      </c>
      <c r="AI16" s="4" t="s">
        <v>139</v>
      </c>
      <c r="AJ16" s="5">
        <v>15000</v>
      </c>
      <c r="AK16" s="9"/>
      <c r="AO16" s="47">
        <v>45822</v>
      </c>
      <c r="AP16" s="4" t="s">
        <v>9</v>
      </c>
      <c r="AQ16" s="4" t="s">
        <v>147</v>
      </c>
      <c r="AR16" s="5"/>
      <c r="AS16" s="9">
        <v>200</v>
      </c>
      <c r="AW16" s="47">
        <v>45852</v>
      </c>
      <c r="AX16" s="4" t="s">
        <v>21</v>
      </c>
      <c r="AY16" s="4" t="s">
        <v>101</v>
      </c>
      <c r="AZ16" s="5"/>
      <c r="BA16" s="9">
        <v>500</v>
      </c>
      <c r="BE16" s="31">
        <v>45883</v>
      </c>
      <c r="BF16" s="32" t="s">
        <v>37</v>
      </c>
      <c r="BG16" s="32" t="s">
        <v>150</v>
      </c>
      <c r="BH16" s="32"/>
      <c r="BI16" s="33">
        <v>400</v>
      </c>
      <c r="BM16" s="31">
        <v>45914</v>
      </c>
      <c r="BN16" s="32" t="s">
        <v>28</v>
      </c>
      <c r="BO16" s="32" t="s">
        <v>17</v>
      </c>
      <c r="BP16" s="32"/>
      <c r="BQ16" s="33">
        <v>2500</v>
      </c>
      <c r="BU16" s="31">
        <v>45944</v>
      </c>
      <c r="BV16" s="32" t="s">
        <v>9</v>
      </c>
      <c r="BW16" s="32" t="s">
        <v>107</v>
      </c>
      <c r="BX16" s="32"/>
      <c r="BY16" s="33">
        <v>1200</v>
      </c>
      <c r="CC16" s="31">
        <v>45975</v>
      </c>
      <c r="CD16" s="32" t="s">
        <v>21</v>
      </c>
      <c r="CE16" s="32" t="s">
        <v>13</v>
      </c>
      <c r="CF16" s="32"/>
      <c r="CG16" s="33">
        <v>1500</v>
      </c>
      <c r="CK16" s="31">
        <v>46005</v>
      </c>
      <c r="CL16" s="32" t="s">
        <v>21</v>
      </c>
      <c r="CM16" s="32" t="s">
        <v>142</v>
      </c>
      <c r="CN16" s="32">
        <v>5000</v>
      </c>
      <c r="CO16" s="33"/>
    </row>
    <row r="17" spans="1:93">
      <c r="A17" s="8" t="s">
        <v>33</v>
      </c>
      <c r="B17" s="4" t="s">
        <v>9</v>
      </c>
      <c r="C17" s="4" t="s">
        <v>15</v>
      </c>
      <c r="D17" s="5"/>
      <c r="E17" s="9">
        <v>1462</v>
      </c>
      <c r="I17" s="47" t="s">
        <v>65</v>
      </c>
      <c r="J17" s="4" t="s">
        <v>12</v>
      </c>
      <c r="K17" s="4" t="s">
        <v>15</v>
      </c>
      <c r="L17" s="5"/>
      <c r="M17" s="9">
        <v>1434</v>
      </c>
      <c r="Q17" s="47">
        <v>45731</v>
      </c>
      <c r="R17" s="4" t="s">
        <v>35</v>
      </c>
      <c r="S17" s="4" t="s">
        <v>100</v>
      </c>
      <c r="T17" s="5">
        <v>31500</v>
      </c>
      <c r="U17" s="9"/>
      <c r="Y17" s="47">
        <v>45762</v>
      </c>
      <c r="Z17" s="4" t="s">
        <v>35</v>
      </c>
      <c r="AA17" s="4" t="s">
        <v>122</v>
      </c>
      <c r="AB17" s="5">
        <v>30500</v>
      </c>
      <c r="AC17" s="9"/>
      <c r="AG17" s="47">
        <v>45792</v>
      </c>
      <c r="AH17" s="4" t="s">
        <v>35</v>
      </c>
      <c r="AI17" s="4" t="s">
        <v>140</v>
      </c>
      <c r="AJ17" s="5">
        <v>31000</v>
      </c>
      <c r="AK17" s="9"/>
      <c r="AO17" s="47">
        <v>45823</v>
      </c>
      <c r="AP17" s="4" t="s">
        <v>35</v>
      </c>
      <c r="AQ17" s="4" t="s">
        <v>148</v>
      </c>
      <c r="AR17" s="5">
        <v>30000</v>
      </c>
      <c r="AS17" s="9"/>
      <c r="AW17" s="47">
        <v>45853</v>
      </c>
      <c r="AX17" s="4" t="s">
        <v>35</v>
      </c>
      <c r="AY17" s="4" t="s">
        <v>168</v>
      </c>
      <c r="AZ17" s="5">
        <v>31000</v>
      </c>
      <c r="BA17" s="9"/>
      <c r="BE17" s="31">
        <v>45884</v>
      </c>
      <c r="BF17" s="32" t="s">
        <v>35</v>
      </c>
      <c r="BG17" s="32" t="s">
        <v>181</v>
      </c>
      <c r="BH17" s="32">
        <v>30500</v>
      </c>
      <c r="BI17" s="33"/>
      <c r="BM17" s="31">
        <v>45915</v>
      </c>
      <c r="BN17" s="32" t="s">
        <v>35</v>
      </c>
      <c r="BO17" s="32" t="s">
        <v>185</v>
      </c>
      <c r="BP17" s="32">
        <v>31000</v>
      </c>
      <c r="BQ17" s="33"/>
      <c r="BU17" s="31">
        <v>45945</v>
      </c>
      <c r="BV17" s="32" t="s">
        <v>35</v>
      </c>
      <c r="BW17" s="32" t="s">
        <v>188</v>
      </c>
      <c r="BX17" s="32">
        <v>28000</v>
      </c>
      <c r="BY17" s="33"/>
      <c r="CC17" s="31">
        <v>45976</v>
      </c>
      <c r="CD17" s="32" t="s">
        <v>35</v>
      </c>
      <c r="CE17" s="32" t="s">
        <v>192</v>
      </c>
      <c r="CF17" s="32">
        <v>31500</v>
      </c>
      <c r="CG17" s="33"/>
      <c r="CK17" s="31">
        <v>46006</v>
      </c>
      <c r="CL17" s="32" t="s">
        <v>35</v>
      </c>
      <c r="CM17" s="32" t="s">
        <v>197</v>
      </c>
      <c r="CN17" s="32">
        <v>32000</v>
      </c>
      <c r="CO17" s="33"/>
    </row>
    <row r="18" spans="1:93">
      <c r="A18" s="8" t="s">
        <v>34</v>
      </c>
      <c r="B18" s="4" t="s">
        <v>35</v>
      </c>
      <c r="C18" s="4" t="s">
        <v>29</v>
      </c>
      <c r="D18" s="5"/>
      <c r="E18" s="9">
        <v>262</v>
      </c>
      <c r="I18" s="47" t="s">
        <v>66</v>
      </c>
      <c r="J18" s="4" t="s">
        <v>21</v>
      </c>
      <c r="K18" s="4" t="s">
        <v>91</v>
      </c>
      <c r="L18" s="5">
        <v>5010</v>
      </c>
      <c r="M18" s="9">
        <v>1683</v>
      </c>
      <c r="Q18" s="47">
        <v>45732</v>
      </c>
      <c r="R18" s="4" t="s">
        <v>28</v>
      </c>
      <c r="S18" s="4" t="s">
        <v>17</v>
      </c>
      <c r="T18" s="5"/>
      <c r="U18" s="9">
        <v>1550</v>
      </c>
      <c r="Y18" s="47">
        <v>45763</v>
      </c>
      <c r="Z18" s="4" t="s">
        <v>28</v>
      </c>
      <c r="AA18" s="4" t="s">
        <v>113</v>
      </c>
      <c r="AB18" s="5"/>
      <c r="AC18" s="9">
        <v>900</v>
      </c>
      <c r="AG18" s="47">
        <v>45793</v>
      </c>
      <c r="AH18" s="4" t="s">
        <v>21</v>
      </c>
      <c r="AI18" s="4" t="s">
        <v>101</v>
      </c>
      <c r="AJ18" s="5"/>
      <c r="AK18" s="9">
        <v>800</v>
      </c>
      <c r="AO18" s="47">
        <v>45824</v>
      </c>
      <c r="AP18" s="4" t="s">
        <v>28</v>
      </c>
      <c r="AQ18" s="4" t="s">
        <v>97</v>
      </c>
      <c r="AR18" s="5"/>
      <c r="AS18" s="9">
        <v>1400</v>
      </c>
      <c r="AW18" s="47">
        <v>45854</v>
      </c>
      <c r="AX18" s="4" t="s">
        <v>28</v>
      </c>
      <c r="AY18" s="4" t="s">
        <v>113</v>
      </c>
      <c r="AZ18" s="5"/>
      <c r="BA18" s="9">
        <v>1200</v>
      </c>
      <c r="BE18" s="31">
        <v>45885</v>
      </c>
      <c r="BF18" s="32" t="s">
        <v>28</v>
      </c>
      <c r="BG18" s="32" t="s">
        <v>113</v>
      </c>
      <c r="BH18" s="32"/>
      <c r="BI18" s="33">
        <v>900</v>
      </c>
      <c r="BM18" s="31">
        <v>45916</v>
      </c>
      <c r="BN18" s="32" t="s">
        <v>35</v>
      </c>
      <c r="BO18" s="32" t="s">
        <v>186</v>
      </c>
      <c r="BP18" s="32">
        <v>10000</v>
      </c>
      <c r="BQ18" s="33"/>
      <c r="BU18" s="31">
        <v>45946</v>
      </c>
      <c r="BV18" s="32" t="s">
        <v>28</v>
      </c>
      <c r="BW18" s="32" t="s">
        <v>97</v>
      </c>
      <c r="BX18" s="32"/>
      <c r="BY18" s="33">
        <v>1800</v>
      </c>
      <c r="CC18" s="31">
        <v>45977</v>
      </c>
      <c r="CD18" s="32" t="s">
        <v>9</v>
      </c>
      <c r="CE18" s="32" t="s">
        <v>112</v>
      </c>
      <c r="CF18" s="32"/>
      <c r="CG18" s="33">
        <v>1800</v>
      </c>
      <c r="CK18" s="31">
        <v>46007</v>
      </c>
      <c r="CL18" s="32" t="s">
        <v>28</v>
      </c>
      <c r="CM18" s="32" t="s">
        <v>113</v>
      </c>
      <c r="CN18" s="32"/>
      <c r="CO18" s="33">
        <v>1500</v>
      </c>
    </row>
    <row r="19" spans="1:93">
      <c r="A19" s="8" t="s">
        <v>36</v>
      </c>
      <c r="B19" s="4" t="s">
        <v>37</v>
      </c>
      <c r="C19" s="4" t="s">
        <v>29</v>
      </c>
      <c r="D19" s="5"/>
      <c r="E19" s="9">
        <v>1905</v>
      </c>
      <c r="I19" s="47" t="s">
        <v>67</v>
      </c>
      <c r="J19" s="4" t="s">
        <v>25</v>
      </c>
      <c r="K19" s="4" t="s">
        <v>13</v>
      </c>
      <c r="L19" s="5"/>
      <c r="M19" s="9">
        <v>1946</v>
      </c>
      <c r="Q19" s="47">
        <v>45733</v>
      </c>
      <c r="R19" s="4" t="s">
        <v>21</v>
      </c>
      <c r="S19" s="4" t="s">
        <v>101</v>
      </c>
      <c r="T19" s="5"/>
      <c r="U19" s="9">
        <v>600</v>
      </c>
      <c r="Y19" s="47">
        <v>45764</v>
      </c>
      <c r="Z19" s="4" t="s">
        <v>21</v>
      </c>
      <c r="AA19" s="4" t="s">
        <v>123</v>
      </c>
      <c r="AB19" s="5">
        <v>2070</v>
      </c>
      <c r="AC19" s="9">
        <v>100</v>
      </c>
      <c r="AG19" s="47">
        <v>45794</v>
      </c>
      <c r="AH19" s="4" t="s">
        <v>28</v>
      </c>
      <c r="AI19" s="4" t="s">
        <v>113</v>
      </c>
      <c r="AJ19" s="5"/>
      <c r="AK19" s="9">
        <v>950</v>
      </c>
      <c r="AO19" s="47">
        <v>45825</v>
      </c>
      <c r="AP19" s="4" t="s">
        <v>6</v>
      </c>
      <c r="AQ19" s="4" t="s">
        <v>149</v>
      </c>
      <c r="AR19" s="5"/>
      <c r="AS19" s="9">
        <v>500</v>
      </c>
      <c r="AW19" s="47">
        <v>45855</v>
      </c>
      <c r="AX19" s="4" t="s">
        <v>37</v>
      </c>
      <c r="AY19" s="4" t="s">
        <v>119</v>
      </c>
      <c r="AZ19" s="5"/>
      <c r="BA19" s="9">
        <v>1000</v>
      </c>
      <c r="BE19" s="31">
        <v>45886</v>
      </c>
      <c r="BF19" s="32" t="s">
        <v>6</v>
      </c>
      <c r="BG19" s="32" t="s">
        <v>29</v>
      </c>
      <c r="BH19" s="32"/>
      <c r="BI19" s="33">
        <v>2800</v>
      </c>
      <c r="BM19" s="31">
        <v>45917</v>
      </c>
      <c r="BN19" s="32" t="s">
        <v>21</v>
      </c>
      <c r="BO19" s="32" t="s">
        <v>13</v>
      </c>
      <c r="BP19" s="32"/>
      <c r="BQ19" s="33">
        <v>1500</v>
      </c>
      <c r="BU19" s="31">
        <v>45947</v>
      </c>
      <c r="BV19" s="32" t="s">
        <v>37</v>
      </c>
      <c r="BW19" s="32" t="s">
        <v>19</v>
      </c>
      <c r="BX19" s="32"/>
      <c r="BY19" s="33">
        <v>700</v>
      </c>
      <c r="CC19" s="31">
        <v>45978</v>
      </c>
      <c r="CD19" s="32" t="s">
        <v>28</v>
      </c>
      <c r="CE19" s="32" t="s">
        <v>97</v>
      </c>
      <c r="CF19" s="32"/>
      <c r="CG19" s="33">
        <v>2000</v>
      </c>
      <c r="CK19" s="31">
        <v>46008</v>
      </c>
      <c r="CL19" s="32" t="s">
        <v>6</v>
      </c>
      <c r="CM19" s="32" t="s">
        <v>29</v>
      </c>
      <c r="CN19" s="32"/>
      <c r="CO19" s="33">
        <v>4200</v>
      </c>
    </row>
    <row r="20" spans="1:93">
      <c r="A20" s="8" t="s">
        <v>38</v>
      </c>
      <c r="B20" s="4" t="s">
        <v>35</v>
      </c>
      <c r="C20" s="4" t="s">
        <v>15</v>
      </c>
      <c r="D20" s="5"/>
      <c r="E20" s="9">
        <v>965</v>
      </c>
      <c r="I20" s="47" t="s">
        <v>68</v>
      </c>
      <c r="J20" s="4" t="s">
        <v>37</v>
      </c>
      <c r="K20" s="4" t="s">
        <v>19</v>
      </c>
      <c r="L20" s="5"/>
      <c r="M20" s="9">
        <v>1679</v>
      </c>
      <c r="Q20" s="47">
        <v>45734</v>
      </c>
      <c r="R20" s="4" t="s">
        <v>6</v>
      </c>
      <c r="S20" s="4" t="s">
        <v>102</v>
      </c>
      <c r="T20" s="5"/>
      <c r="U20" s="9">
        <v>2200</v>
      </c>
      <c r="Y20" s="47">
        <v>45765</v>
      </c>
      <c r="Z20" s="4" t="s">
        <v>6</v>
      </c>
      <c r="AA20" s="4" t="s">
        <v>124</v>
      </c>
      <c r="AB20" s="5"/>
      <c r="AC20" s="9">
        <v>600</v>
      </c>
      <c r="AG20" s="47">
        <v>45795</v>
      </c>
      <c r="AH20" s="4" t="s">
        <v>37</v>
      </c>
      <c r="AI20" s="4" t="s">
        <v>110</v>
      </c>
      <c r="AJ20" s="5"/>
      <c r="AK20" s="9">
        <v>300</v>
      </c>
      <c r="AO20" s="47">
        <v>45826</v>
      </c>
      <c r="AP20" s="4" t="s">
        <v>12</v>
      </c>
      <c r="AQ20" s="4" t="s">
        <v>7</v>
      </c>
      <c r="AR20" s="5"/>
      <c r="AS20" s="9">
        <v>1200</v>
      </c>
      <c r="AW20" s="47">
        <v>45856</v>
      </c>
      <c r="AX20" s="4" t="s">
        <v>6</v>
      </c>
      <c r="AY20" s="4" t="s">
        <v>169</v>
      </c>
      <c r="AZ20" s="5"/>
      <c r="BA20" s="9">
        <v>1500</v>
      </c>
      <c r="BE20" s="31">
        <v>45887</v>
      </c>
      <c r="BF20" s="32" t="s">
        <v>21</v>
      </c>
      <c r="BG20" s="32" t="s">
        <v>101</v>
      </c>
      <c r="BH20" s="32"/>
      <c r="BI20" s="33">
        <v>600</v>
      </c>
      <c r="BM20" s="31">
        <v>45918</v>
      </c>
      <c r="BN20" s="32" t="s">
        <v>12</v>
      </c>
      <c r="BO20" s="32" t="s">
        <v>7</v>
      </c>
      <c r="BP20" s="32"/>
      <c r="BQ20" s="33">
        <v>1500</v>
      </c>
      <c r="BU20" s="31">
        <v>45948</v>
      </c>
      <c r="BV20" s="32" t="s">
        <v>6</v>
      </c>
      <c r="BW20" s="32" t="s">
        <v>189</v>
      </c>
      <c r="BX20" s="32"/>
      <c r="BY20" s="33">
        <v>1400</v>
      </c>
      <c r="CC20" s="31">
        <v>45979</v>
      </c>
      <c r="CD20" s="32" t="s">
        <v>6</v>
      </c>
      <c r="CE20" s="32" t="s">
        <v>96</v>
      </c>
      <c r="CF20" s="32"/>
      <c r="CG20" s="33">
        <v>4000</v>
      </c>
      <c r="CK20" s="31">
        <v>46009</v>
      </c>
      <c r="CL20" s="32" t="s">
        <v>12</v>
      </c>
      <c r="CM20" s="32" t="s">
        <v>104</v>
      </c>
      <c r="CN20" s="32"/>
      <c r="CO20" s="33">
        <v>750</v>
      </c>
    </row>
    <row r="21" spans="1:93">
      <c r="A21" s="8" t="s">
        <v>39</v>
      </c>
      <c r="B21" s="4" t="s">
        <v>9</v>
      </c>
      <c r="C21" s="4" t="s">
        <v>10</v>
      </c>
      <c r="D21" s="5"/>
      <c r="E21" s="9">
        <v>2134</v>
      </c>
      <c r="I21" s="47" t="s">
        <v>69</v>
      </c>
      <c r="J21" s="4" t="s">
        <v>12</v>
      </c>
      <c r="K21" s="4" t="s">
        <v>10</v>
      </c>
      <c r="L21" s="5"/>
      <c r="M21" s="9">
        <v>1796</v>
      </c>
      <c r="Q21" s="47">
        <v>45735</v>
      </c>
      <c r="R21" s="4" t="s">
        <v>37</v>
      </c>
      <c r="S21" s="4" t="s">
        <v>103</v>
      </c>
      <c r="T21" s="5"/>
      <c r="U21" s="9">
        <v>500</v>
      </c>
      <c r="Y21" s="47">
        <v>45766</v>
      </c>
      <c r="Z21" s="4" t="s">
        <v>12</v>
      </c>
      <c r="AA21" s="4" t="s">
        <v>111</v>
      </c>
      <c r="AB21" s="5"/>
      <c r="AC21" s="9">
        <v>1000</v>
      </c>
      <c r="AG21" s="47">
        <v>45796</v>
      </c>
      <c r="AH21" s="4" t="s">
        <v>12</v>
      </c>
      <c r="AI21" s="4" t="s">
        <v>7</v>
      </c>
      <c r="AJ21" s="5"/>
      <c r="AK21" s="9">
        <v>1400</v>
      </c>
      <c r="AO21" s="47">
        <v>45827</v>
      </c>
      <c r="AP21" s="4" t="s">
        <v>25</v>
      </c>
      <c r="AQ21" s="4" t="s">
        <v>125</v>
      </c>
      <c r="AR21" s="5"/>
      <c r="AS21" s="9">
        <v>350</v>
      </c>
      <c r="AW21" s="47">
        <v>45857</v>
      </c>
      <c r="AX21" s="4" t="s">
        <v>12</v>
      </c>
      <c r="AY21" s="4" t="s">
        <v>104</v>
      </c>
      <c r="AZ21" s="5"/>
      <c r="BA21" s="9">
        <v>750</v>
      </c>
      <c r="BE21" s="31">
        <v>45888</v>
      </c>
      <c r="BF21" s="32" t="s">
        <v>12</v>
      </c>
      <c r="BG21" s="32" t="s">
        <v>7</v>
      </c>
      <c r="BH21" s="32"/>
      <c r="BI21" s="33">
        <v>1600</v>
      </c>
      <c r="BM21" s="31">
        <v>45919</v>
      </c>
      <c r="BN21" s="32" t="s">
        <v>6</v>
      </c>
      <c r="BO21" s="32" t="s">
        <v>169</v>
      </c>
      <c r="BP21" s="32"/>
      <c r="BQ21" s="33">
        <v>3500</v>
      </c>
      <c r="BU21" s="31">
        <v>45949</v>
      </c>
      <c r="BV21" s="32" t="s">
        <v>12</v>
      </c>
      <c r="BW21" s="32" t="s">
        <v>104</v>
      </c>
      <c r="BX21" s="32"/>
      <c r="BY21" s="33">
        <v>650</v>
      </c>
      <c r="CC21" s="31">
        <v>45980</v>
      </c>
      <c r="CD21" s="32" t="s">
        <v>12</v>
      </c>
      <c r="CE21" s="32" t="s">
        <v>104</v>
      </c>
      <c r="CF21" s="32"/>
      <c r="CG21" s="33">
        <v>700</v>
      </c>
      <c r="CK21" s="31">
        <v>46010</v>
      </c>
      <c r="CL21" s="32" t="s">
        <v>25</v>
      </c>
      <c r="CM21" s="32" t="s">
        <v>125</v>
      </c>
      <c r="CN21" s="32"/>
      <c r="CO21" s="33">
        <v>600</v>
      </c>
    </row>
    <row r="22" spans="1:93">
      <c r="A22" s="8" t="s">
        <v>40</v>
      </c>
      <c r="B22" s="4" t="s">
        <v>21</v>
      </c>
      <c r="C22" s="4" t="s">
        <v>19</v>
      </c>
      <c r="D22" s="5"/>
      <c r="E22" s="9">
        <v>949</v>
      </c>
      <c r="I22" s="47" t="s">
        <v>70</v>
      </c>
      <c r="J22" s="4" t="s">
        <v>28</v>
      </c>
      <c r="K22" s="4" t="s">
        <v>13</v>
      </c>
      <c r="L22" s="5"/>
      <c r="M22" s="9">
        <v>1501</v>
      </c>
      <c r="Q22" s="47">
        <v>45736</v>
      </c>
      <c r="R22" s="4" t="s">
        <v>12</v>
      </c>
      <c r="S22" s="4" t="s">
        <v>104</v>
      </c>
      <c r="T22" s="5"/>
      <c r="U22" s="9">
        <v>750</v>
      </c>
      <c r="Y22" s="47">
        <v>45767</v>
      </c>
      <c r="Z22" s="4" t="s">
        <v>28</v>
      </c>
      <c r="AA22" s="4" t="s">
        <v>17</v>
      </c>
      <c r="AB22" s="5"/>
      <c r="AC22" s="9">
        <v>2500</v>
      </c>
      <c r="AG22" s="47">
        <v>45797</v>
      </c>
      <c r="AH22" s="4" t="s">
        <v>6</v>
      </c>
      <c r="AI22" s="4" t="s">
        <v>29</v>
      </c>
      <c r="AJ22" s="5">
        <v>7020</v>
      </c>
      <c r="AK22" s="9">
        <v>100</v>
      </c>
      <c r="AO22" s="47">
        <v>45828</v>
      </c>
      <c r="AP22" s="4" t="s">
        <v>28</v>
      </c>
      <c r="AQ22" s="4" t="s">
        <v>17</v>
      </c>
      <c r="AR22" s="5"/>
      <c r="AS22" s="9">
        <v>2100</v>
      </c>
      <c r="AW22" s="47">
        <v>45858</v>
      </c>
      <c r="AX22" s="4" t="s">
        <v>25</v>
      </c>
      <c r="AY22" s="4" t="s">
        <v>125</v>
      </c>
      <c r="AZ22" s="5">
        <v>3000</v>
      </c>
      <c r="BA22" s="9"/>
      <c r="BE22" s="31">
        <v>45889</v>
      </c>
      <c r="BF22" s="32" t="s">
        <v>25</v>
      </c>
      <c r="BG22" s="32" t="s">
        <v>98</v>
      </c>
      <c r="BH22" s="32"/>
      <c r="BI22" s="33">
        <v>2100</v>
      </c>
      <c r="BM22" s="31">
        <v>45920</v>
      </c>
      <c r="BN22" s="32" t="s">
        <v>28</v>
      </c>
      <c r="BO22" s="32" t="s">
        <v>113</v>
      </c>
      <c r="BP22" s="32"/>
      <c r="BQ22" s="33">
        <v>1100</v>
      </c>
      <c r="BU22" s="31">
        <v>45950</v>
      </c>
      <c r="BV22" s="32" t="s">
        <v>25</v>
      </c>
      <c r="BW22" s="32" t="s">
        <v>98</v>
      </c>
      <c r="BX22" s="32"/>
      <c r="BY22" s="33">
        <v>1800</v>
      </c>
      <c r="CC22" s="31">
        <v>45981</v>
      </c>
      <c r="CD22" s="32" t="s">
        <v>25</v>
      </c>
      <c r="CE22" s="32" t="s">
        <v>125</v>
      </c>
      <c r="CF22" s="32"/>
      <c r="CG22" s="33">
        <v>500</v>
      </c>
      <c r="CK22" s="31">
        <v>46011</v>
      </c>
      <c r="CL22" s="32" t="s">
        <v>28</v>
      </c>
      <c r="CM22" s="32" t="s">
        <v>198</v>
      </c>
      <c r="CN22" s="32"/>
      <c r="CO22" s="33">
        <v>4000</v>
      </c>
    </row>
    <row r="23" spans="1:93">
      <c r="A23" s="8" t="s">
        <v>41</v>
      </c>
      <c r="B23" s="4" t="s">
        <v>25</v>
      </c>
      <c r="C23" s="4" t="s">
        <v>15</v>
      </c>
      <c r="D23" s="5"/>
      <c r="E23" s="9">
        <v>1282</v>
      </c>
      <c r="I23" s="47" t="s">
        <v>71</v>
      </c>
      <c r="J23" s="4" t="s">
        <v>37</v>
      </c>
      <c r="K23" s="4" t="s">
        <v>19</v>
      </c>
      <c r="L23" s="5"/>
      <c r="M23" s="9">
        <v>2029</v>
      </c>
      <c r="Q23" s="47">
        <v>45737</v>
      </c>
      <c r="R23" s="4" t="s">
        <v>28</v>
      </c>
      <c r="S23" s="4" t="s">
        <v>105</v>
      </c>
      <c r="T23" s="5"/>
      <c r="U23" s="9">
        <v>900</v>
      </c>
      <c r="Y23" s="47">
        <v>45768</v>
      </c>
      <c r="Z23" s="4" t="s">
        <v>25</v>
      </c>
      <c r="AA23" s="4" t="s">
        <v>125</v>
      </c>
      <c r="AB23" s="5"/>
      <c r="AC23" s="9">
        <v>450</v>
      </c>
      <c r="AG23" s="47">
        <v>45798</v>
      </c>
      <c r="AH23" s="4" t="s">
        <v>25</v>
      </c>
      <c r="AI23" s="4" t="s">
        <v>125</v>
      </c>
      <c r="AJ23" s="5"/>
      <c r="AK23" s="9">
        <v>500</v>
      </c>
      <c r="AO23" s="47">
        <v>45829</v>
      </c>
      <c r="AP23" s="4" t="s">
        <v>37</v>
      </c>
      <c r="AQ23" s="4" t="s">
        <v>150</v>
      </c>
      <c r="AR23" s="5"/>
      <c r="AS23" s="9">
        <v>400</v>
      </c>
      <c r="AW23" s="47">
        <v>45859</v>
      </c>
      <c r="AX23" s="4" t="s">
        <v>28</v>
      </c>
      <c r="AY23" s="4" t="s">
        <v>17</v>
      </c>
      <c r="AZ23" s="5"/>
      <c r="BA23" s="9">
        <v>2800</v>
      </c>
      <c r="BE23" s="31">
        <v>45890</v>
      </c>
      <c r="BF23" s="32" t="s">
        <v>28</v>
      </c>
      <c r="BG23" s="32" t="s">
        <v>97</v>
      </c>
      <c r="BH23" s="32"/>
      <c r="BI23" s="33">
        <v>2400</v>
      </c>
      <c r="BM23" s="31">
        <v>45921</v>
      </c>
      <c r="BN23" s="32" t="s">
        <v>25</v>
      </c>
      <c r="BO23" s="32" t="s">
        <v>98</v>
      </c>
      <c r="BP23" s="32"/>
      <c r="BQ23" s="33">
        <v>2000</v>
      </c>
      <c r="BU23" s="31">
        <v>45951</v>
      </c>
      <c r="BV23" s="32" t="s">
        <v>28</v>
      </c>
      <c r="BW23" s="32" t="s">
        <v>17</v>
      </c>
      <c r="BX23" s="32"/>
      <c r="BY23" s="33">
        <v>2400</v>
      </c>
      <c r="CC23" s="31">
        <v>45982</v>
      </c>
      <c r="CD23" s="32" t="s">
        <v>28</v>
      </c>
      <c r="CE23" s="32" t="s">
        <v>17</v>
      </c>
      <c r="CF23" s="32"/>
      <c r="CG23" s="33">
        <v>2600</v>
      </c>
      <c r="CK23" s="31">
        <v>46012</v>
      </c>
      <c r="CL23" s="32" t="s">
        <v>37</v>
      </c>
      <c r="CM23" s="32" t="s">
        <v>190</v>
      </c>
      <c r="CN23" s="32"/>
      <c r="CO23" s="33">
        <v>500</v>
      </c>
    </row>
    <row r="24" spans="1:93">
      <c r="A24" s="8" t="s">
        <v>42</v>
      </c>
      <c r="B24" s="4" t="s">
        <v>25</v>
      </c>
      <c r="C24" s="4" t="s">
        <v>19</v>
      </c>
      <c r="D24" s="5"/>
      <c r="E24" s="9">
        <v>394</v>
      </c>
      <c r="I24" s="47" t="s">
        <v>72</v>
      </c>
      <c r="J24" s="4" t="s">
        <v>28</v>
      </c>
      <c r="K24" s="4" t="s">
        <v>15</v>
      </c>
      <c r="L24" s="5"/>
      <c r="M24" s="9">
        <v>1321</v>
      </c>
      <c r="Q24" s="47">
        <v>45738</v>
      </c>
      <c r="R24" s="4" t="s">
        <v>25</v>
      </c>
      <c r="S24" s="4" t="s">
        <v>106</v>
      </c>
      <c r="T24" s="5"/>
      <c r="U24" s="9">
        <v>300</v>
      </c>
      <c r="Y24" s="47">
        <v>45769</v>
      </c>
      <c r="Z24" s="4" t="s">
        <v>9</v>
      </c>
      <c r="AA24" s="4" t="s">
        <v>126</v>
      </c>
      <c r="AB24" s="5"/>
      <c r="AC24" s="9">
        <v>2000</v>
      </c>
      <c r="AG24" s="47">
        <v>45799</v>
      </c>
      <c r="AH24" s="4" t="s">
        <v>9</v>
      </c>
      <c r="AI24" s="4" t="s">
        <v>141</v>
      </c>
      <c r="AJ24" s="5"/>
      <c r="AK24" s="9">
        <v>1500</v>
      </c>
      <c r="AO24" s="47">
        <v>45830</v>
      </c>
      <c r="AP24" s="4" t="s">
        <v>21</v>
      </c>
      <c r="AQ24" s="4" t="s">
        <v>13</v>
      </c>
      <c r="AR24" s="5"/>
      <c r="AS24" s="9">
        <v>1000</v>
      </c>
      <c r="AW24" s="47">
        <v>45860</v>
      </c>
      <c r="AX24" s="4" t="s">
        <v>9</v>
      </c>
      <c r="AY24" s="4" t="s">
        <v>141</v>
      </c>
      <c r="AZ24" s="5"/>
      <c r="BA24" s="9">
        <v>2000</v>
      </c>
      <c r="BE24" s="31">
        <v>45891</v>
      </c>
      <c r="BF24" s="32" t="s">
        <v>9</v>
      </c>
      <c r="BG24" s="32" t="s">
        <v>141</v>
      </c>
      <c r="BH24" s="32"/>
      <c r="BI24" s="33">
        <v>1500</v>
      </c>
      <c r="BM24" s="31">
        <v>45922</v>
      </c>
      <c r="BN24" s="32" t="s">
        <v>9</v>
      </c>
      <c r="BO24" s="32" t="s">
        <v>141</v>
      </c>
      <c r="BP24" s="32">
        <v>2500</v>
      </c>
      <c r="BQ24" s="33">
        <v>100</v>
      </c>
      <c r="BU24" s="31">
        <v>45952</v>
      </c>
      <c r="BV24" s="32" t="s">
        <v>9</v>
      </c>
      <c r="BW24" s="32" t="s">
        <v>112</v>
      </c>
      <c r="BX24" s="32"/>
      <c r="BY24" s="33">
        <v>1000</v>
      </c>
      <c r="CC24" s="31">
        <v>45983</v>
      </c>
      <c r="CD24" s="32" t="s">
        <v>37</v>
      </c>
      <c r="CE24" s="32" t="s">
        <v>182</v>
      </c>
      <c r="CF24" s="32"/>
      <c r="CG24" s="33">
        <v>600</v>
      </c>
      <c r="CK24" s="31">
        <v>46013</v>
      </c>
      <c r="CL24" s="32" t="s">
        <v>9</v>
      </c>
      <c r="CM24" s="32" t="s">
        <v>112</v>
      </c>
      <c r="CN24" s="32"/>
      <c r="CO24" s="33">
        <v>3000</v>
      </c>
    </row>
    <row r="25" spans="1:93">
      <c r="A25" s="8" t="s">
        <v>43</v>
      </c>
      <c r="B25" s="4" t="s">
        <v>25</v>
      </c>
      <c r="C25" s="4" t="s">
        <v>29</v>
      </c>
      <c r="D25" s="5"/>
      <c r="E25" s="9">
        <v>1352</v>
      </c>
      <c r="I25" s="47" t="s">
        <v>73</v>
      </c>
      <c r="J25" s="4" t="s">
        <v>21</v>
      </c>
      <c r="K25" s="4" t="s">
        <v>91</v>
      </c>
      <c r="L25" s="5">
        <v>2000</v>
      </c>
      <c r="M25" s="9">
        <v>1028</v>
      </c>
      <c r="Q25" s="47">
        <v>45739</v>
      </c>
      <c r="R25" s="4" t="s">
        <v>9</v>
      </c>
      <c r="S25" s="4" t="s">
        <v>107</v>
      </c>
      <c r="T25" s="5"/>
      <c r="U25" s="9">
        <v>1100</v>
      </c>
      <c r="Y25" s="47">
        <v>45770</v>
      </c>
      <c r="Z25" s="4" t="s">
        <v>28</v>
      </c>
      <c r="AA25" s="4" t="s">
        <v>204</v>
      </c>
      <c r="AB25" s="5">
        <v>12500</v>
      </c>
      <c r="AC25" s="9"/>
      <c r="AG25" s="47">
        <v>45800</v>
      </c>
      <c r="AH25" s="4" t="s">
        <v>28</v>
      </c>
      <c r="AI25" s="4" t="s">
        <v>17</v>
      </c>
      <c r="AJ25" s="5"/>
      <c r="AK25" s="9">
        <v>2600</v>
      </c>
      <c r="AO25" s="47">
        <v>45831</v>
      </c>
      <c r="AP25" s="4" t="s">
        <v>9</v>
      </c>
      <c r="AQ25" s="4" t="s">
        <v>112</v>
      </c>
      <c r="AR25" s="5"/>
      <c r="AS25" s="9">
        <v>1500</v>
      </c>
      <c r="AW25" s="47">
        <v>45861</v>
      </c>
      <c r="AX25" s="4" t="s">
        <v>21</v>
      </c>
      <c r="AY25" s="4" t="s">
        <v>170</v>
      </c>
      <c r="AZ25" s="5"/>
      <c r="BA25" s="9">
        <v>3000</v>
      </c>
      <c r="BE25" s="31">
        <v>45892</v>
      </c>
      <c r="BF25" s="32" t="s">
        <v>37</v>
      </c>
      <c r="BG25" s="32" t="s">
        <v>182</v>
      </c>
      <c r="BH25" s="32"/>
      <c r="BI25" s="33">
        <v>1000</v>
      </c>
      <c r="BM25" s="31">
        <v>45923</v>
      </c>
      <c r="BN25" s="32" t="s">
        <v>37</v>
      </c>
      <c r="BO25" s="32" t="s">
        <v>129</v>
      </c>
      <c r="BP25" s="32"/>
      <c r="BQ25" s="33">
        <v>3000</v>
      </c>
      <c r="BU25" s="31">
        <v>45953</v>
      </c>
      <c r="BV25" s="32" t="s">
        <v>21</v>
      </c>
      <c r="BW25" s="32" t="s">
        <v>127</v>
      </c>
      <c r="BX25" s="32"/>
      <c r="BY25" s="33">
        <v>1000</v>
      </c>
      <c r="CC25" s="31">
        <v>45984</v>
      </c>
      <c r="CD25" s="32" t="s">
        <v>21</v>
      </c>
      <c r="CE25" s="32" t="s">
        <v>101</v>
      </c>
      <c r="CF25" s="32"/>
      <c r="CG25" s="33">
        <v>500</v>
      </c>
      <c r="CK25" s="31">
        <v>46014</v>
      </c>
      <c r="CL25" s="32" t="s">
        <v>21</v>
      </c>
      <c r="CM25" s="32" t="s">
        <v>101</v>
      </c>
      <c r="CN25" s="32"/>
      <c r="CO25" s="33">
        <v>700</v>
      </c>
    </row>
    <row r="26" spans="1:93">
      <c r="A26" s="8" t="s">
        <v>44</v>
      </c>
      <c r="B26" s="4" t="s">
        <v>6</v>
      </c>
      <c r="C26" s="4" t="s">
        <v>22</v>
      </c>
      <c r="D26" s="5">
        <v>1900</v>
      </c>
      <c r="E26" s="9">
        <v>1997</v>
      </c>
      <c r="I26" s="47" t="s">
        <v>74</v>
      </c>
      <c r="J26" s="4" t="s">
        <v>37</v>
      </c>
      <c r="K26" s="4" t="s">
        <v>19</v>
      </c>
      <c r="L26" s="5"/>
      <c r="M26" s="9">
        <v>189</v>
      </c>
      <c r="Q26" s="47">
        <v>45740</v>
      </c>
      <c r="R26" s="4" t="s">
        <v>28</v>
      </c>
      <c r="S26" s="4" t="s">
        <v>17</v>
      </c>
      <c r="T26" s="5"/>
      <c r="U26" s="9">
        <v>2800</v>
      </c>
      <c r="Y26" s="47">
        <v>45771</v>
      </c>
      <c r="Z26" s="4" t="s">
        <v>21</v>
      </c>
      <c r="AA26" s="4" t="s">
        <v>127</v>
      </c>
      <c r="AB26" s="5"/>
      <c r="AC26" s="9">
        <v>1500</v>
      </c>
      <c r="AG26" s="47">
        <v>45801</v>
      </c>
      <c r="AH26" s="4" t="s">
        <v>21</v>
      </c>
      <c r="AI26" s="4" t="s">
        <v>142</v>
      </c>
      <c r="AJ26" s="5"/>
      <c r="AK26" s="9">
        <v>2500</v>
      </c>
      <c r="AO26" s="47">
        <v>45832</v>
      </c>
      <c r="AP26" s="4" t="s">
        <v>28</v>
      </c>
      <c r="AQ26" s="4" t="s">
        <v>113</v>
      </c>
      <c r="AR26" s="5"/>
      <c r="AS26" s="9">
        <v>700</v>
      </c>
      <c r="AW26" s="47">
        <v>45862</v>
      </c>
      <c r="AX26" s="4" t="s">
        <v>37</v>
      </c>
      <c r="AY26" s="4" t="s">
        <v>110</v>
      </c>
      <c r="AZ26" s="5"/>
      <c r="BA26" s="9">
        <v>400</v>
      </c>
      <c r="BE26" s="31">
        <v>45893</v>
      </c>
      <c r="BF26" s="32" t="s">
        <v>28</v>
      </c>
      <c r="BG26" s="32" t="s">
        <v>17</v>
      </c>
      <c r="BH26" s="32"/>
      <c r="BI26" s="33">
        <v>2600</v>
      </c>
      <c r="BM26" s="31">
        <v>45924</v>
      </c>
      <c r="BN26" s="32" t="s">
        <v>28</v>
      </c>
      <c r="BO26" s="32" t="s">
        <v>17</v>
      </c>
      <c r="BP26" s="32">
        <v>15090</v>
      </c>
      <c r="BQ26" s="33">
        <v>100</v>
      </c>
      <c r="BU26" s="31">
        <v>45954</v>
      </c>
      <c r="BV26" s="32" t="s">
        <v>28</v>
      </c>
      <c r="BW26" s="32" t="s">
        <v>105</v>
      </c>
      <c r="BX26" s="32"/>
      <c r="BY26" s="33">
        <v>950</v>
      </c>
      <c r="CC26" s="31">
        <v>45985</v>
      </c>
      <c r="CD26" s="32" t="s">
        <v>9</v>
      </c>
      <c r="CE26" s="32" t="s">
        <v>141</v>
      </c>
      <c r="CF26" s="32"/>
      <c r="CG26" s="33">
        <v>1500</v>
      </c>
      <c r="CK26" s="31">
        <v>46015</v>
      </c>
      <c r="CL26" s="32" t="s">
        <v>6</v>
      </c>
      <c r="CM26" s="32" t="s">
        <v>199</v>
      </c>
      <c r="CN26" s="32">
        <v>4000</v>
      </c>
      <c r="CO26" s="33"/>
    </row>
    <row r="27" spans="1:93">
      <c r="A27" s="8" t="s">
        <v>45</v>
      </c>
      <c r="B27" s="4" t="s">
        <v>9</v>
      </c>
      <c r="C27" s="4" t="s">
        <v>13</v>
      </c>
      <c r="D27" s="5"/>
      <c r="E27" s="9">
        <v>483</v>
      </c>
      <c r="I27" s="47" t="s">
        <v>75</v>
      </c>
      <c r="J27" s="4" t="s">
        <v>9</v>
      </c>
      <c r="K27" s="4" t="s">
        <v>17</v>
      </c>
      <c r="L27" s="5"/>
      <c r="M27" s="9">
        <v>2335</v>
      </c>
      <c r="Q27" s="47">
        <v>45741</v>
      </c>
      <c r="R27" s="4" t="s">
        <v>21</v>
      </c>
      <c r="S27" s="4" t="s">
        <v>108</v>
      </c>
      <c r="T27" s="5"/>
      <c r="U27" s="9">
        <v>1800</v>
      </c>
      <c r="Y27" s="47">
        <v>45772</v>
      </c>
      <c r="Z27" s="4" t="s">
        <v>6</v>
      </c>
      <c r="AA27" s="4" t="s">
        <v>128</v>
      </c>
      <c r="AB27" s="5"/>
      <c r="AC27" s="9">
        <v>1700</v>
      </c>
      <c r="AG27" s="47">
        <v>45802</v>
      </c>
      <c r="AH27" s="4" t="s">
        <v>37</v>
      </c>
      <c r="AI27" s="4" t="s">
        <v>124</v>
      </c>
      <c r="AJ27" s="5"/>
      <c r="AK27" s="9">
        <v>700</v>
      </c>
      <c r="AO27" s="47">
        <v>45833</v>
      </c>
      <c r="AP27" s="4" t="s">
        <v>6</v>
      </c>
      <c r="AQ27" s="4" t="s">
        <v>117</v>
      </c>
      <c r="AR27" s="5"/>
      <c r="AS27" s="9">
        <v>1000</v>
      </c>
      <c r="AW27" s="47">
        <v>45863</v>
      </c>
      <c r="AX27" s="4" t="s">
        <v>6</v>
      </c>
      <c r="AY27" s="4" t="s">
        <v>117</v>
      </c>
      <c r="AZ27" s="5"/>
      <c r="BA27" s="9">
        <v>2000</v>
      </c>
      <c r="BE27" s="31">
        <v>45894</v>
      </c>
      <c r="BF27" s="32" t="s">
        <v>21</v>
      </c>
      <c r="BG27" s="32" t="s">
        <v>127</v>
      </c>
      <c r="BH27" s="32"/>
      <c r="BI27" s="33">
        <v>1200</v>
      </c>
      <c r="BM27" s="31">
        <v>45925</v>
      </c>
      <c r="BN27" s="32" t="s">
        <v>21</v>
      </c>
      <c r="BO27" s="32" t="s">
        <v>101</v>
      </c>
      <c r="BP27" s="32"/>
      <c r="BQ27" s="33">
        <v>600</v>
      </c>
      <c r="BU27" s="31">
        <v>45955</v>
      </c>
      <c r="BV27" s="32" t="s">
        <v>37</v>
      </c>
      <c r="BW27" s="32" t="s">
        <v>190</v>
      </c>
      <c r="BX27" s="32"/>
      <c r="BY27" s="33">
        <v>500</v>
      </c>
      <c r="CC27" s="31">
        <v>45986</v>
      </c>
      <c r="CD27" s="32" t="s">
        <v>28</v>
      </c>
      <c r="CE27" s="32" t="s">
        <v>105</v>
      </c>
      <c r="CF27" s="32"/>
      <c r="CG27" s="33">
        <v>1000</v>
      </c>
      <c r="CK27" s="31">
        <v>46016</v>
      </c>
      <c r="CL27" s="32" t="s">
        <v>28</v>
      </c>
      <c r="CM27" s="32" t="s">
        <v>200</v>
      </c>
      <c r="CN27" s="32"/>
      <c r="CO27" s="33">
        <v>5000</v>
      </c>
    </row>
    <row r="28" spans="1:93">
      <c r="A28" s="8" t="s">
        <v>46</v>
      </c>
      <c r="B28" s="4" t="s">
        <v>35</v>
      </c>
      <c r="C28" s="4" t="s">
        <v>29</v>
      </c>
      <c r="D28" s="5"/>
      <c r="E28" s="9">
        <v>795</v>
      </c>
      <c r="I28" s="47" t="s">
        <v>76</v>
      </c>
      <c r="J28" s="4" t="s">
        <v>35</v>
      </c>
      <c r="K28" s="4" t="s">
        <v>19</v>
      </c>
      <c r="L28" s="5">
        <v>841</v>
      </c>
      <c r="M28" s="9">
        <v>41</v>
      </c>
      <c r="Q28" s="47">
        <v>45742</v>
      </c>
      <c r="R28" s="4" t="s">
        <v>6</v>
      </c>
      <c r="S28" s="4" t="s">
        <v>109</v>
      </c>
      <c r="T28" s="5"/>
      <c r="U28" s="9">
        <v>4100</v>
      </c>
      <c r="Y28" s="47">
        <v>45773</v>
      </c>
      <c r="Z28" s="4" t="s">
        <v>37</v>
      </c>
      <c r="AA28" s="4" t="s">
        <v>129</v>
      </c>
      <c r="AB28" s="5"/>
      <c r="AC28" s="9">
        <v>3000</v>
      </c>
      <c r="AG28" s="47">
        <v>45803</v>
      </c>
      <c r="AH28" s="4" t="s">
        <v>6</v>
      </c>
      <c r="AI28" s="4" t="s">
        <v>117</v>
      </c>
      <c r="AJ28" s="5"/>
      <c r="AK28" s="9">
        <v>1900</v>
      </c>
      <c r="AO28" s="47">
        <v>45834</v>
      </c>
      <c r="AP28" s="4" t="s">
        <v>25</v>
      </c>
      <c r="AQ28" s="4" t="s">
        <v>143</v>
      </c>
      <c r="AR28" s="5"/>
      <c r="AS28" s="9">
        <v>200</v>
      </c>
      <c r="AW28" s="47">
        <v>45864</v>
      </c>
      <c r="AX28" s="4" t="s">
        <v>28</v>
      </c>
      <c r="AY28" s="4" t="s">
        <v>97</v>
      </c>
      <c r="AZ28" s="5">
        <v>80050</v>
      </c>
      <c r="BA28" s="9">
        <v>2500</v>
      </c>
      <c r="BE28" s="31">
        <v>45895</v>
      </c>
      <c r="BF28" s="32" t="s">
        <v>6</v>
      </c>
      <c r="BG28" s="32" t="s">
        <v>102</v>
      </c>
      <c r="BH28" s="32"/>
      <c r="BI28" s="33">
        <v>1900</v>
      </c>
      <c r="BM28" s="31">
        <v>45926</v>
      </c>
      <c r="BN28" s="32" t="s">
        <v>6</v>
      </c>
      <c r="BO28" s="32" t="s">
        <v>29</v>
      </c>
      <c r="BP28" s="32"/>
      <c r="BQ28" s="33">
        <v>3600</v>
      </c>
      <c r="BU28" s="31">
        <v>45956</v>
      </c>
      <c r="BV28" s="32" t="s">
        <v>6</v>
      </c>
      <c r="BW28" s="32" t="s">
        <v>29</v>
      </c>
      <c r="BX28" s="32"/>
      <c r="BY28" s="33">
        <v>2500</v>
      </c>
      <c r="CC28" s="31">
        <v>45987</v>
      </c>
      <c r="CD28" s="32" t="s">
        <v>6</v>
      </c>
      <c r="CE28" s="32" t="s">
        <v>102</v>
      </c>
      <c r="CF28" s="32"/>
      <c r="CG28" s="33">
        <v>2500</v>
      </c>
      <c r="CK28" s="31">
        <v>46017</v>
      </c>
      <c r="CL28" s="32" t="s">
        <v>25</v>
      </c>
      <c r="CM28" s="32" t="s">
        <v>130</v>
      </c>
      <c r="CN28" s="32"/>
      <c r="CO28" s="33">
        <v>1500</v>
      </c>
    </row>
    <row r="29" spans="1:93">
      <c r="A29" s="8" t="s">
        <v>47</v>
      </c>
      <c r="B29" s="4" t="s">
        <v>21</v>
      </c>
      <c r="C29" s="4" t="s">
        <v>17</v>
      </c>
      <c r="D29" s="5">
        <v>50</v>
      </c>
      <c r="E29" s="9">
        <v>600</v>
      </c>
      <c r="I29" s="47" t="s">
        <v>77</v>
      </c>
      <c r="J29" s="4" t="s">
        <v>28</v>
      </c>
      <c r="K29" s="4" t="s">
        <v>17</v>
      </c>
      <c r="L29" s="5"/>
      <c r="M29" s="9">
        <v>1363</v>
      </c>
      <c r="Q29" s="47">
        <v>45743</v>
      </c>
      <c r="R29" s="4" t="s">
        <v>37</v>
      </c>
      <c r="S29" s="4" t="s">
        <v>110</v>
      </c>
      <c r="T29" s="5"/>
      <c r="U29" s="9">
        <v>400</v>
      </c>
      <c r="Y29" s="47">
        <v>45774</v>
      </c>
      <c r="Z29" s="4" t="s">
        <v>28</v>
      </c>
      <c r="AA29" s="4" t="s">
        <v>97</v>
      </c>
      <c r="AB29" s="5"/>
      <c r="AC29" s="9">
        <v>2100</v>
      </c>
      <c r="AG29" s="47">
        <v>45804</v>
      </c>
      <c r="AH29" s="4" t="s">
        <v>28</v>
      </c>
      <c r="AI29" s="4" t="s">
        <v>97</v>
      </c>
      <c r="AJ29" s="5"/>
      <c r="AK29" s="9">
        <v>2000</v>
      </c>
      <c r="AO29" s="47">
        <v>45835</v>
      </c>
      <c r="AP29" s="4" t="s">
        <v>12</v>
      </c>
      <c r="AQ29" s="4" t="s">
        <v>111</v>
      </c>
      <c r="AR29" s="5"/>
      <c r="AS29" s="9">
        <v>1000</v>
      </c>
      <c r="AW29" s="47">
        <v>45865</v>
      </c>
      <c r="AX29" s="4" t="s">
        <v>25</v>
      </c>
      <c r="AY29" s="4" t="s">
        <v>10</v>
      </c>
      <c r="AZ29" s="5"/>
      <c r="BA29" s="9">
        <v>150</v>
      </c>
      <c r="BE29" s="31">
        <v>45896</v>
      </c>
      <c r="BF29" s="32" t="s">
        <v>25</v>
      </c>
      <c r="BG29" s="32" t="s">
        <v>125</v>
      </c>
      <c r="BH29" s="32"/>
      <c r="BI29" s="33">
        <v>400</v>
      </c>
      <c r="BM29" s="31">
        <v>45927</v>
      </c>
      <c r="BN29" s="32" t="s">
        <v>25</v>
      </c>
      <c r="BO29" s="32" t="s">
        <v>143</v>
      </c>
      <c r="BP29" s="32"/>
      <c r="BQ29" s="33">
        <v>600</v>
      </c>
      <c r="BU29" s="31">
        <v>45957</v>
      </c>
      <c r="BV29" s="32" t="s">
        <v>25</v>
      </c>
      <c r="BW29" s="32" t="s">
        <v>143</v>
      </c>
      <c r="BX29" s="32"/>
      <c r="BY29" s="33">
        <v>250</v>
      </c>
      <c r="CC29" s="31">
        <v>45988</v>
      </c>
      <c r="CD29" s="32" t="s">
        <v>25</v>
      </c>
      <c r="CE29" s="32" t="s">
        <v>143</v>
      </c>
      <c r="CF29" s="32"/>
      <c r="CG29" s="33">
        <v>300</v>
      </c>
      <c r="CK29" s="31">
        <v>46018</v>
      </c>
      <c r="CL29" s="32" t="s">
        <v>12</v>
      </c>
      <c r="CM29" s="32" t="s">
        <v>111</v>
      </c>
      <c r="CN29" s="32"/>
      <c r="CO29" s="33">
        <v>1000</v>
      </c>
    </row>
    <row r="30" spans="1:93">
      <c r="A30" s="8" t="s">
        <v>48</v>
      </c>
      <c r="B30" s="4" t="s">
        <v>37</v>
      </c>
      <c r="C30" s="4" t="s">
        <v>22</v>
      </c>
      <c r="D30" s="5">
        <v>1000</v>
      </c>
      <c r="E30" s="9">
        <v>2333</v>
      </c>
      <c r="I30" s="47" t="s">
        <v>78</v>
      </c>
      <c r="J30" s="4" t="s">
        <v>28</v>
      </c>
      <c r="K30" s="4" t="s">
        <v>10</v>
      </c>
      <c r="L30" s="5"/>
      <c r="M30" s="9">
        <v>2066</v>
      </c>
      <c r="Q30" s="47">
        <v>45744</v>
      </c>
      <c r="R30" s="4" t="s">
        <v>12</v>
      </c>
      <c r="S30" s="4" t="s">
        <v>111</v>
      </c>
      <c r="T30" s="5"/>
      <c r="U30" s="9">
        <v>1000</v>
      </c>
      <c r="Y30" s="47">
        <v>45775</v>
      </c>
      <c r="Z30" s="4" t="s">
        <v>25</v>
      </c>
      <c r="AA30" s="4" t="s">
        <v>130</v>
      </c>
      <c r="AB30" s="5"/>
      <c r="AC30" s="9">
        <v>900</v>
      </c>
      <c r="AG30" s="47">
        <v>45805</v>
      </c>
      <c r="AH30" s="4" t="s">
        <v>25</v>
      </c>
      <c r="AI30" s="4" t="s">
        <v>143</v>
      </c>
      <c r="AJ30" s="5"/>
      <c r="AK30" s="9">
        <v>300</v>
      </c>
      <c r="AO30" s="47">
        <v>45836</v>
      </c>
      <c r="AP30" s="4" t="s">
        <v>28</v>
      </c>
      <c r="AQ30" s="4" t="s">
        <v>17</v>
      </c>
      <c r="AR30" s="5"/>
      <c r="AS30" s="9">
        <v>1700</v>
      </c>
      <c r="AW30" s="47">
        <v>45866</v>
      </c>
      <c r="AX30" s="4" t="s">
        <v>12</v>
      </c>
      <c r="AY30" s="4" t="s">
        <v>111</v>
      </c>
      <c r="AZ30" s="5"/>
      <c r="BA30" s="9">
        <v>1000</v>
      </c>
      <c r="BE30" s="31">
        <v>45897</v>
      </c>
      <c r="BF30" s="32" t="s">
        <v>12</v>
      </c>
      <c r="BG30" s="32" t="s">
        <v>111</v>
      </c>
      <c r="BH30" s="32"/>
      <c r="BI30" s="33">
        <v>1000</v>
      </c>
      <c r="BM30" s="31">
        <v>45928</v>
      </c>
      <c r="BN30" s="32" t="s">
        <v>12</v>
      </c>
      <c r="BO30" s="32" t="s">
        <v>111</v>
      </c>
      <c r="BP30" s="32"/>
      <c r="BQ30" s="33">
        <v>1000</v>
      </c>
      <c r="BU30" s="31">
        <v>45958</v>
      </c>
      <c r="BV30" s="32" t="s">
        <v>12</v>
      </c>
      <c r="BW30" s="32" t="s">
        <v>111</v>
      </c>
      <c r="BX30" s="32"/>
      <c r="BY30" s="33">
        <v>1000</v>
      </c>
      <c r="CC30" s="31">
        <v>45989</v>
      </c>
      <c r="CD30" s="32" t="s">
        <v>12</v>
      </c>
      <c r="CE30" s="32" t="s">
        <v>111</v>
      </c>
      <c r="CF30" s="32"/>
      <c r="CG30" s="33">
        <v>1000</v>
      </c>
      <c r="CK30" s="31">
        <v>46019</v>
      </c>
      <c r="CL30" s="32" t="s">
        <v>9</v>
      </c>
      <c r="CM30" s="32" t="s">
        <v>201</v>
      </c>
      <c r="CN30" s="32"/>
      <c r="CO30" s="33">
        <v>6000</v>
      </c>
    </row>
    <row r="31" spans="1:93">
      <c r="A31" s="8" t="s">
        <v>49</v>
      </c>
      <c r="B31" s="4" t="s">
        <v>35</v>
      </c>
      <c r="C31" s="4" t="s">
        <v>15</v>
      </c>
      <c r="D31" s="5"/>
      <c r="E31" s="9">
        <v>1269</v>
      </c>
      <c r="I31" s="47"/>
      <c r="J31" s="4"/>
      <c r="K31" s="4"/>
      <c r="L31" s="4"/>
      <c r="M31" s="9"/>
      <c r="Q31" s="47">
        <v>45745</v>
      </c>
      <c r="R31" s="4" t="s">
        <v>9</v>
      </c>
      <c r="S31" s="4" t="s">
        <v>112</v>
      </c>
      <c r="T31" s="5"/>
      <c r="U31" s="9">
        <v>2000</v>
      </c>
      <c r="Y31" s="47">
        <v>45776</v>
      </c>
      <c r="Z31" s="4" t="s">
        <v>12</v>
      </c>
      <c r="AA31" s="4" t="s">
        <v>131</v>
      </c>
      <c r="AB31" s="5">
        <v>600</v>
      </c>
      <c r="AC31" s="9"/>
      <c r="AG31" s="47">
        <v>45806</v>
      </c>
      <c r="AH31" s="4" t="s">
        <v>12</v>
      </c>
      <c r="AI31" s="4" t="s">
        <v>111</v>
      </c>
      <c r="AJ31" s="5"/>
      <c r="AK31" s="9">
        <v>1000</v>
      </c>
      <c r="AO31" s="47">
        <v>45837</v>
      </c>
      <c r="AP31" s="4" t="s">
        <v>37</v>
      </c>
      <c r="AQ31" s="4" t="s">
        <v>151</v>
      </c>
      <c r="AR31" s="5"/>
      <c r="AS31" s="9">
        <v>1200</v>
      </c>
      <c r="AW31" s="47">
        <v>45867</v>
      </c>
      <c r="AX31" s="4" t="s">
        <v>9</v>
      </c>
      <c r="AY31" s="4" t="s">
        <v>118</v>
      </c>
      <c r="AZ31" s="5"/>
      <c r="BA31" s="9">
        <v>500</v>
      </c>
      <c r="BE31" s="31">
        <v>45898</v>
      </c>
      <c r="BF31" s="32" t="s">
        <v>9</v>
      </c>
      <c r="BG31" s="32" t="s">
        <v>107</v>
      </c>
      <c r="BH31" s="32"/>
      <c r="BI31" s="33">
        <v>1500</v>
      </c>
      <c r="BM31" s="31">
        <v>45929</v>
      </c>
      <c r="BN31" s="32" t="s">
        <v>28</v>
      </c>
      <c r="BO31" s="32" t="s">
        <v>97</v>
      </c>
      <c r="BP31" s="32">
        <v>1890</v>
      </c>
      <c r="BQ31" s="33"/>
      <c r="BU31" s="31">
        <v>45959</v>
      </c>
      <c r="BV31" s="32" t="s">
        <v>9</v>
      </c>
      <c r="BW31" s="32" t="s">
        <v>141</v>
      </c>
      <c r="BX31" s="32"/>
      <c r="BY31" s="33">
        <v>1500</v>
      </c>
      <c r="CC31" s="31">
        <v>45990</v>
      </c>
      <c r="CD31" s="32" t="s">
        <v>28</v>
      </c>
      <c r="CE31" s="32" t="s">
        <v>97</v>
      </c>
      <c r="CF31" s="32"/>
      <c r="CG31" s="33">
        <v>2200</v>
      </c>
      <c r="CK31" s="31">
        <v>46020</v>
      </c>
      <c r="CL31" s="32" t="s">
        <v>28</v>
      </c>
      <c r="CM31" s="32" t="s">
        <v>17</v>
      </c>
      <c r="CN31" s="32"/>
      <c r="CO31" s="33">
        <v>2900</v>
      </c>
    </row>
    <row r="32" spans="1:93">
      <c r="A32" s="8" t="s">
        <v>50</v>
      </c>
      <c r="B32" s="4" t="s">
        <v>35</v>
      </c>
      <c r="C32" s="4" t="s">
        <v>17</v>
      </c>
      <c r="D32" s="5"/>
      <c r="E32" s="9">
        <v>12000</v>
      </c>
      <c r="I32" s="47"/>
      <c r="J32" s="4"/>
      <c r="K32" s="4"/>
      <c r="L32" s="4"/>
      <c r="M32" s="9"/>
      <c r="Q32" s="47">
        <v>45746</v>
      </c>
      <c r="R32" s="4" t="s">
        <v>28</v>
      </c>
      <c r="S32" s="4" t="s">
        <v>113</v>
      </c>
      <c r="T32" s="5"/>
      <c r="U32" s="9">
        <v>1150</v>
      </c>
      <c r="Y32" s="47">
        <v>45777</v>
      </c>
      <c r="Z32" s="4" t="s">
        <v>35</v>
      </c>
      <c r="AA32" s="4" t="s">
        <v>132</v>
      </c>
      <c r="AB32" s="5">
        <v>5000</v>
      </c>
      <c r="AC32" s="9"/>
      <c r="AG32" s="47">
        <v>45807</v>
      </c>
      <c r="AH32" s="4" t="s">
        <v>28</v>
      </c>
      <c r="AI32" s="4" t="s">
        <v>105</v>
      </c>
      <c r="AJ32" s="5"/>
      <c r="AK32" s="9">
        <v>1100</v>
      </c>
      <c r="AO32" s="47">
        <v>45838</v>
      </c>
      <c r="AP32" s="4" t="s">
        <v>35</v>
      </c>
      <c r="AQ32" s="4" t="s">
        <v>152</v>
      </c>
      <c r="AR32" s="5">
        <v>6000</v>
      </c>
      <c r="AS32" s="9"/>
      <c r="AW32" s="47">
        <v>45868</v>
      </c>
      <c r="AX32" s="4" t="s">
        <v>28</v>
      </c>
      <c r="AY32" s="4" t="s">
        <v>105</v>
      </c>
      <c r="AZ32" s="5"/>
      <c r="BA32" s="9">
        <v>950</v>
      </c>
      <c r="BE32" s="31">
        <v>45899</v>
      </c>
      <c r="BF32" s="32" t="s">
        <v>28</v>
      </c>
      <c r="BG32" s="32" t="s">
        <v>105</v>
      </c>
      <c r="BH32" s="32"/>
      <c r="BI32" s="33">
        <v>1100</v>
      </c>
      <c r="BM32" s="31">
        <v>45930</v>
      </c>
      <c r="BN32" s="32" t="s">
        <v>9</v>
      </c>
      <c r="BO32" s="32" t="s">
        <v>144</v>
      </c>
      <c r="BP32" s="32"/>
      <c r="BQ32" s="33">
        <v>500</v>
      </c>
      <c r="BU32" s="31">
        <v>45960</v>
      </c>
      <c r="BV32" s="32" t="s">
        <v>28</v>
      </c>
      <c r="BW32" s="32" t="s">
        <v>97</v>
      </c>
      <c r="BX32" s="32"/>
      <c r="BY32" s="33">
        <v>2000</v>
      </c>
      <c r="CC32" s="31">
        <v>45991</v>
      </c>
      <c r="CD32" s="32" t="s">
        <v>35</v>
      </c>
      <c r="CE32" s="32" t="s">
        <v>193</v>
      </c>
      <c r="CF32" s="32">
        <v>5500</v>
      </c>
      <c r="CG32" s="33"/>
      <c r="CK32" s="31">
        <v>46021</v>
      </c>
      <c r="CL32" s="32" t="s">
        <v>6</v>
      </c>
      <c r="CM32" s="32" t="s">
        <v>166</v>
      </c>
      <c r="CN32" s="32"/>
      <c r="CO32" s="33">
        <v>1800</v>
      </c>
    </row>
    <row r="33" spans="1:93">
      <c r="A33" s="10"/>
      <c r="B33" s="10"/>
      <c r="C33" s="10"/>
      <c r="D33" s="10"/>
      <c r="E33" s="12"/>
      <c r="I33" s="34"/>
      <c r="J33" s="10"/>
      <c r="K33" s="10"/>
      <c r="L33" s="10"/>
      <c r="M33" s="12"/>
      <c r="Q33" s="34">
        <v>45747</v>
      </c>
      <c r="R33" s="10" t="s">
        <v>21</v>
      </c>
      <c r="S33" s="10" t="s">
        <v>114</v>
      </c>
      <c r="T33" s="11"/>
      <c r="U33" s="12">
        <v>3000</v>
      </c>
      <c r="Y33" s="34"/>
      <c r="Z33" s="35"/>
      <c r="AA33" s="35"/>
      <c r="AB33" s="35"/>
      <c r="AC33" s="36"/>
      <c r="AG33" s="34">
        <v>45808</v>
      </c>
      <c r="AH33" s="10" t="s">
        <v>6</v>
      </c>
      <c r="AI33" s="10" t="s">
        <v>144</v>
      </c>
      <c r="AJ33" s="11"/>
      <c r="AK33" s="12">
        <v>400</v>
      </c>
      <c r="AO33" s="34"/>
      <c r="AP33" s="35"/>
      <c r="AQ33" s="35"/>
      <c r="AR33" s="35"/>
      <c r="AS33" s="36"/>
      <c r="AW33" s="34">
        <v>45869</v>
      </c>
      <c r="AX33" s="10" t="s">
        <v>35</v>
      </c>
      <c r="AY33" s="10" t="s">
        <v>171</v>
      </c>
      <c r="AZ33" s="11">
        <v>4500</v>
      </c>
      <c r="BA33" s="12"/>
      <c r="BE33" s="34">
        <v>45900</v>
      </c>
      <c r="BF33" s="10" t="s">
        <v>6</v>
      </c>
      <c r="BG33" s="10" t="s">
        <v>144</v>
      </c>
      <c r="BH33" s="11"/>
      <c r="BI33" s="12">
        <v>500</v>
      </c>
      <c r="BM33" s="34"/>
      <c r="BN33" s="35"/>
      <c r="BO33" s="35"/>
      <c r="BP33" s="35"/>
      <c r="BQ33" s="36"/>
      <c r="BU33" s="34">
        <v>45961</v>
      </c>
      <c r="BV33" s="10" t="s">
        <v>35</v>
      </c>
      <c r="BW33" s="10" t="s">
        <v>191</v>
      </c>
      <c r="BX33" s="11">
        <v>3000</v>
      </c>
      <c r="BY33" s="12"/>
      <c r="CC33" s="34"/>
      <c r="CD33" s="35"/>
      <c r="CE33" s="35"/>
      <c r="CF33" s="35"/>
      <c r="CG33" s="36"/>
      <c r="CK33" s="34">
        <v>46022</v>
      </c>
      <c r="CL33" s="35" t="s">
        <v>35</v>
      </c>
      <c r="CM33" s="35" t="s">
        <v>202</v>
      </c>
      <c r="CN33" s="35">
        <v>8000</v>
      </c>
      <c r="CO33" s="36"/>
    </row>
    <row r="34" spans="1:93">
      <c r="A34" s="120"/>
      <c r="B34" s="121"/>
      <c r="C34" s="121"/>
      <c r="D34" s="121"/>
      <c r="E34" s="122"/>
      <c r="I34" s="120"/>
      <c r="J34" s="121"/>
      <c r="K34" s="121"/>
      <c r="L34" s="121"/>
      <c r="M34" s="122"/>
      <c r="Q34" s="120"/>
      <c r="R34" s="121"/>
      <c r="S34" s="121"/>
      <c r="T34" s="121"/>
      <c r="U34" s="122"/>
      <c r="Y34" s="120"/>
      <c r="Z34" s="121"/>
      <c r="AA34" s="121"/>
      <c r="AB34" s="121"/>
      <c r="AC34" s="122"/>
      <c r="AG34" s="120"/>
      <c r="AH34" s="121"/>
      <c r="AI34" s="121"/>
      <c r="AJ34" s="121"/>
      <c r="AK34" s="122"/>
      <c r="AO34" s="120"/>
      <c r="AP34" s="121"/>
      <c r="AQ34" s="121"/>
      <c r="AR34" s="121"/>
      <c r="AS34" s="122"/>
      <c r="AW34" s="120"/>
      <c r="AX34" s="121"/>
      <c r="AY34" s="121"/>
      <c r="AZ34" s="121"/>
      <c r="BA34" s="122"/>
      <c r="BE34" s="123"/>
      <c r="BF34" s="124"/>
      <c r="BG34" s="124"/>
      <c r="BH34" s="124"/>
      <c r="BI34" s="125"/>
      <c r="BM34" s="120"/>
      <c r="BN34" s="121"/>
      <c r="BO34" s="121"/>
      <c r="BP34" s="121"/>
      <c r="BQ34" s="122"/>
      <c r="BU34" s="120"/>
      <c r="BV34" s="121"/>
      <c r="BW34" s="121"/>
      <c r="BX34" s="121"/>
      <c r="BY34" s="122"/>
      <c r="CC34" s="120"/>
      <c r="CD34" s="121"/>
      <c r="CE34" s="121"/>
      <c r="CF34" s="121"/>
      <c r="CG34" s="122"/>
      <c r="CK34" s="126"/>
      <c r="CL34" s="127"/>
      <c r="CM34" s="127"/>
      <c r="CN34" s="127"/>
      <c r="CO34" s="128"/>
    </row>
    <row r="35" spans="1:93">
      <c r="A35" s="111" t="s">
        <v>84</v>
      </c>
      <c r="B35" s="112"/>
      <c r="C35" s="20" t="s">
        <v>3</v>
      </c>
      <c r="D35" s="21">
        <f>SUM(D3:D32)</f>
        <v>46640</v>
      </c>
      <c r="E35" s="22"/>
      <c r="I35" s="111" t="s">
        <v>84</v>
      </c>
      <c r="J35" s="112"/>
      <c r="K35" s="20" t="s">
        <v>3</v>
      </c>
      <c r="L35" s="21">
        <f>SUM(L3:L30)</f>
        <v>41101</v>
      </c>
      <c r="M35" s="22"/>
      <c r="Q35" s="111" t="s">
        <v>84</v>
      </c>
      <c r="R35" s="112"/>
      <c r="S35" s="20" t="s">
        <v>3</v>
      </c>
      <c r="T35" s="21">
        <f>SUM(T3:T33)</f>
        <v>34500</v>
      </c>
      <c r="U35" s="22"/>
      <c r="Y35" s="111" t="s">
        <v>84</v>
      </c>
      <c r="Z35" s="112"/>
      <c r="AA35" s="20" t="s">
        <v>3</v>
      </c>
      <c r="AB35" s="21">
        <f>SUM(AB3:AB32)</f>
        <v>50670</v>
      </c>
      <c r="AC35" s="22"/>
      <c r="AG35" s="111" t="s">
        <v>84</v>
      </c>
      <c r="AH35" s="112"/>
      <c r="AI35" s="20" t="s">
        <v>3</v>
      </c>
      <c r="AJ35" s="21">
        <f>SUM(AJ3:AJ33)</f>
        <v>53020</v>
      </c>
      <c r="AK35" s="22"/>
      <c r="AO35" s="111" t="s">
        <v>84</v>
      </c>
      <c r="AP35" s="112"/>
      <c r="AQ35" s="20" t="s">
        <v>3</v>
      </c>
      <c r="AR35" s="21">
        <f>SUM(AR3:AR32)</f>
        <v>36000</v>
      </c>
      <c r="AS35" s="22"/>
      <c r="AW35" s="111" t="s">
        <v>84</v>
      </c>
      <c r="AX35" s="112"/>
      <c r="AY35" s="20" t="s">
        <v>3</v>
      </c>
      <c r="AZ35" s="21">
        <f>SUM(AZ3:AZ33)</f>
        <v>123550</v>
      </c>
      <c r="BA35" s="22"/>
      <c r="BE35" s="111" t="s">
        <v>84</v>
      </c>
      <c r="BF35" s="112"/>
      <c r="BG35" s="20" t="s">
        <v>3</v>
      </c>
      <c r="BH35" s="21">
        <f>SUM(BH3:BH33)</f>
        <v>30500</v>
      </c>
      <c r="BI35" s="22"/>
      <c r="BM35" s="111" t="s">
        <v>84</v>
      </c>
      <c r="BN35" s="112"/>
      <c r="BO35" s="20" t="s">
        <v>3</v>
      </c>
      <c r="BP35" s="21">
        <f>SUM(BP3:BP32)</f>
        <v>67980</v>
      </c>
      <c r="BQ35" s="22"/>
      <c r="BU35" s="111" t="s">
        <v>84</v>
      </c>
      <c r="BV35" s="112"/>
      <c r="BW35" s="20" t="s">
        <v>3</v>
      </c>
      <c r="BX35" s="21">
        <f>SUM(BX3:BX33)</f>
        <v>57530</v>
      </c>
      <c r="BY35" s="22"/>
      <c r="CC35" s="111" t="s">
        <v>84</v>
      </c>
      <c r="CD35" s="112"/>
      <c r="CE35" s="20" t="s">
        <v>3</v>
      </c>
      <c r="CF35" s="21">
        <f>SUM(CF3:CF32)</f>
        <v>42000</v>
      </c>
      <c r="CG35" s="22"/>
      <c r="CK35" s="111" t="s">
        <v>84</v>
      </c>
      <c r="CL35" s="112"/>
      <c r="CM35" s="20" t="s">
        <v>3</v>
      </c>
      <c r="CN35" s="21">
        <f>SUM(CN3:CN33)</f>
        <v>73200</v>
      </c>
      <c r="CO35" s="22"/>
    </row>
    <row r="36" spans="1:93">
      <c r="A36" s="113"/>
      <c r="B36" s="114"/>
      <c r="C36" s="17" t="s">
        <v>4</v>
      </c>
      <c r="D36" s="18"/>
      <c r="E36" s="23">
        <f>SUM(E3:E32)</f>
        <v>44937</v>
      </c>
      <c r="I36" s="113"/>
      <c r="J36" s="114"/>
      <c r="K36" s="17" t="s">
        <v>4</v>
      </c>
      <c r="L36" s="18"/>
      <c r="M36" s="23">
        <f>SUM(M3:M30)</f>
        <v>39428</v>
      </c>
      <c r="Q36" s="113"/>
      <c r="R36" s="114"/>
      <c r="S36" s="17" t="s">
        <v>4</v>
      </c>
      <c r="T36" s="18"/>
      <c r="U36" s="23">
        <f>SUM(U3:U33)</f>
        <v>71300</v>
      </c>
      <c r="Y36" s="113"/>
      <c r="Z36" s="114"/>
      <c r="AA36" s="17" t="s">
        <v>4</v>
      </c>
      <c r="AB36" s="18"/>
      <c r="AC36" s="23">
        <f>SUM(AC3:AC32)</f>
        <v>48500</v>
      </c>
      <c r="AG36" s="113"/>
      <c r="AH36" s="114"/>
      <c r="AI36" s="17" t="s">
        <v>4</v>
      </c>
      <c r="AJ36" s="18"/>
      <c r="AK36" s="23">
        <f>SUM(AK3:AK33)</f>
        <v>52100</v>
      </c>
      <c r="AO36" s="113"/>
      <c r="AP36" s="114"/>
      <c r="AQ36" s="17" t="s">
        <v>4</v>
      </c>
      <c r="AR36" s="18"/>
      <c r="AS36" s="23">
        <f>SUM(AS3:AS32)</f>
        <v>39400</v>
      </c>
      <c r="AW36" s="113"/>
      <c r="AX36" s="114"/>
      <c r="AY36" s="17" t="s">
        <v>4</v>
      </c>
      <c r="AZ36" s="18"/>
      <c r="BA36" s="23">
        <f>SUM(BA3:BA33)</f>
        <v>54100</v>
      </c>
      <c r="BE36" s="113"/>
      <c r="BF36" s="114"/>
      <c r="BG36" s="17" t="s">
        <v>4</v>
      </c>
      <c r="BH36" s="18"/>
      <c r="BI36" s="23">
        <f>SUM(BI3:BI33)</f>
        <v>72200</v>
      </c>
      <c r="BM36" s="113"/>
      <c r="BN36" s="114"/>
      <c r="BO36" s="17" t="s">
        <v>4</v>
      </c>
      <c r="BP36" s="18"/>
      <c r="BQ36" s="23">
        <f>SUM(BQ3:BQ32)</f>
        <v>67980</v>
      </c>
      <c r="BU36" s="113"/>
      <c r="BV36" s="114"/>
      <c r="BW36" s="17" t="s">
        <v>4</v>
      </c>
      <c r="BX36" s="18"/>
      <c r="BY36" s="23">
        <f>SUM(BY3:BY33)</f>
        <v>40190</v>
      </c>
      <c r="CC36" s="113"/>
      <c r="CD36" s="114"/>
      <c r="CE36" s="17" t="s">
        <v>4</v>
      </c>
      <c r="CF36" s="18"/>
      <c r="CG36" s="23">
        <f>SUM(CG3:CG32)</f>
        <v>55250</v>
      </c>
      <c r="CK36" s="113"/>
      <c r="CL36" s="114"/>
      <c r="CM36" s="17" t="s">
        <v>4</v>
      </c>
      <c r="CN36" s="18"/>
      <c r="CO36" s="23">
        <f>SUM(CO3:CO33)</f>
        <v>67450</v>
      </c>
    </row>
    <row r="37" spans="1:93">
      <c r="A37" s="113"/>
      <c r="B37" s="114"/>
      <c r="C37" s="17" t="s">
        <v>85</v>
      </c>
      <c r="D37" s="18">
        <f>MAX(D3:D32)</f>
        <v>40000</v>
      </c>
      <c r="E37" s="23"/>
      <c r="I37" s="113"/>
      <c r="J37" s="114"/>
      <c r="K37" s="17" t="s">
        <v>85</v>
      </c>
      <c r="L37" s="18">
        <f>MAX(L3:L30)</f>
        <v>30000</v>
      </c>
      <c r="M37" s="23"/>
      <c r="Q37" s="113"/>
      <c r="R37" s="114"/>
      <c r="S37" s="17" t="s">
        <v>85</v>
      </c>
      <c r="T37" s="18">
        <f>MAX(T3:T33)</f>
        <v>31500</v>
      </c>
      <c r="U37" s="23"/>
      <c r="Y37" s="113"/>
      <c r="Z37" s="114"/>
      <c r="AA37" s="17" t="s">
        <v>85</v>
      </c>
      <c r="AB37" s="18">
        <f>MAX(AB3:AB32)</f>
        <v>30500</v>
      </c>
      <c r="AC37" s="23"/>
      <c r="AG37" s="113"/>
      <c r="AH37" s="114"/>
      <c r="AI37" s="17" t="s">
        <v>85</v>
      </c>
      <c r="AJ37" s="18">
        <f>SUM(AJ3:AJ33)</f>
        <v>53020</v>
      </c>
      <c r="AK37" s="23"/>
      <c r="AO37" s="113"/>
      <c r="AP37" s="114"/>
      <c r="AQ37" s="17" t="s">
        <v>85</v>
      </c>
      <c r="AR37" s="18">
        <f>MAX(AR3:AR32)</f>
        <v>30000</v>
      </c>
      <c r="AS37" s="23"/>
      <c r="AW37" s="113"/>
      <c r="AX37" s="114"/>
      <c r="AY37" s="17" t="s">
        <v>85</v>
      </c>
      <c r="AZ37" s="18">
        <f>MAX(AZ3:AZ33)</f>
        <v>80050</v>
      </c>
      <c r="BA37" s="23"/>
      <c r="BE37" s="113"/>
      <c r="BF37" s="114"/>
      <c r="BG37" s="17" t="s">
        <v>85</v>
      </c>
      <c r="BH37" s="18">
        <f>MAX(BH3:BH33)</f>
        <v>30500</v>
      </c>
      <c r="BI37" s="23"/>
      <c r="BM37" s="113"/>
      <c r="BN37" s="114"/>
      <c r="BO37" s="17" t="s">
        <v>85</v>
      </c>
      <c r="BP37" s="18">
        <f>MAX(BP3:BP32)</f>
        <v>31000</v>
      </c>
      <c r="BQ37" s="23"/>
      <c r="BU37" s="113"/>
      <c r="BV37" s="114"/>
      <c r="BW37" s="17" t="s">
        <v>85</v>
      </c>
      <c r="BX37" s="18">
        <f>MAX(BX3:BX33)</f>
        <v>28000</v>
      </c>
      <c r="BY37" s="23"/>
      <c r="CC37" s="113"/>
      <c r="CD37" s="114"/>
      <c r="CE37" s="17" t="s">
        <v>85</v>
      </c>
      <c r="CF37" s="18">
        <f>MAX(CF3:CF32)</f>
        <v>31500</v>
      </c>
      <c r="CG37" s="23"/>
      <c r="CK37" s="113"/>
      <c r="CL37" s="114"/>
      <c r="CM37" s="17" t="s">
        <v>85</v>
      </c>
      <c r="CN37" s="18">
        <f>MAX(CN3:CN33)</f>
        <v>32000</v>
      </c>
      <c r="CO37" s="23"/>
    </row>
    <row r="38" spans="1:93">
      <c r="A38" s="113"/>
      <c r="B38" s="114"/>
      <c r="C38" s="17" t="s">
        <v>88</v>
      </c>
      <c r="D38" s="18"/>
      <c r="E38" s="23">
        <f>MAX(E3:E32)</f>
        <v>12000</v>
      </c>
      <c r="I38" s="113"/>
      <c r="J38" s="114"/>
      <c r="K38" s="17" t="s">
        <v>88</v>
      </c>
      <c r="L38" s="18"/>
      <c r="M38" s="23">
        <f>MAX(M3:M30)</f>
        <v>2335</v>
      </c>
      <c r="N38" s="39"/>
      <c r="Q38" s="113"/>
      <c r="R38" s="114"/>
      <c r="S38" s="17" t="s">
        <v>88</v>
      </c>
      <c r="T38" s="18"/>
      <c r="U38" s="23">
        <f>MAX(U3:U33)</f>
        <v>15000</v>
      </c>
      <c r="Y38" s="113"/>
      <c r="Z38" s="114"/>
      <c r="AA38" s="17" t="s">
        <v>88</v>
      </c>
      <c r="AB38" s="18"/>
      <c r="AC38" s="23">
        <f>MAX(AC3:AC32)</f>
        <v>15000</v>
      </c>
      <c r="AG38" s="113"/>
      <c r="AH38" s="114"/>
      <c r="AI38" s="17" t="s">
        <v>88</v>
      </c>
      <c r="AJ38" s="18"/>
      <c r="AK38" s="23">
        <f>SUM(AK3:AK33)</f>
        <v>52100</v>
      </c>
      <c r="AO38" s="113"/>
      <c r="AP38" s="114"/>
      <c r="AQ38" s="17" t="s">
        <v>88</v>
      </c>
      <c r="AR38" s="18"/>
      <c r="AS38" s="23">
        <f>MAX(AS3:AS32)</f>
        <v>15000</v>
      </c>
      <c r="AW38" s="113"/>
      <c r="AX38" s="114"/>
      <c r="AY38" s="17" t="s">
        <v>88</v>
      </c>
      <c r="AZ38" s="18"/>
      <c r="BA38" s="23">
        <f>MAX(BA3:BA33)</f>
        <v>15000</v>
      </c>
      <c r="BE38" s="113"/>
      <c r="BF38" s="114"/>
      <c r="BG38" s="17" t="s">
        <v>88</v>
      </c>
      <c r="BH38" s="18"/>
      <c r="BI38" s="23">
        <f>MAX(BI3:BI33)</f>
        <v>15000</v>
      </c>
      <c r="BM38" s="113"/>
      <c r="BN38" s="114"/>
      <c r="BO38" s="17" t="s">
        <v>88</v>
      </c>
      <c r="BP38" s="18"/>
      <c r="BQ38" s="23">
        <f>MAX(BQ3:BQ32)</f>
        <v>15000</v>
      </c>
      <c r="BU38" s="113"/>
      <c r="BV38" s="114"/>
      <c r="BW38" s="17" t="s">
        <v>88</v>
      </c>
      <c r="BX38" s="18"/>
      <c r="BY38" s="23">
        <f>MAX(BY3:BY33)</f>
        <v>5000</v>
      </c>
      <c r="CC38" s="113"/>
      <c r="CD38" s="114"/>
      <c r="CE38" s="17" t="s">
        <v>88</v>
      </c>
      <c r="CF38" s="18"/>
      <c r="CG38" s="23">
        <f>MAX(CG3:CG32)</f>
        <v>15000</v>
      </c>
      <c r="CK38" s="113"/>
      <c r="CL38" s="114"/>
      <c r="CM38" s="17" t="s">
        <v>88</v>
      </c>
      <c r="CN38" s="18"/>
      <c r="CO38" s="23">
        <f>MAX(CO3:CO33)</f>
        <v>8000</v>
      </c>
    </row>
    <row r="39" spans="1:93">
      <c r="A39" s="113"/>
      <c r="B39" s="114"/>
      <c r="C39" s="17" t="s">
        <v>86</v>
      </c>
      <c r="D39" s="19">
        <f>MIN(D3:D32)</f>
        <v>50</v>
      </c>
      <c r="E39" s="24"/>
      <c r="I39" s="113"/>
      <c r="J39" s="114"/>
      <c r="K39" s="17" t="s">
        <v>86</v>
      </c>
      <c r="L39" s="19">
        <f>MIN(L3:L30)</f>
        <v>50</v>
      </c>
      <c r="M39" s="24"/>
      <c r="Q39" s="113"/>
      <c r="R39" s="114"/>
      <c r="S39" s="17" t="s">
        <v>86</v>
      </c>
      <c r="T39" s="19">
        <f>MIN(T3:T33)</f>
        <v>3000</v>
      </c>
      <c r="U39" s="24"/>
      <c r="Y39" s="113"/>
      <c r="Z39" s="114"/>
      <c r="AA39" s="17" t="s">
        <v>86</v>
      </c>
      <c r="AB39" s="19">
        <f>MIN(AB3:AB32)</f>
        <v>600</v>
      </c>
      <c r="AC39" s="24"/>
      <c r="AG39" s="113"/>
      <c r="AH39" s="114"/>
      <c r="AI39" s="17" t="s">
        <v>86</v>
      </c>
      <c r="AJ39" s="19">
        <f>MIN(AJ3:AJ33)</f>
        <v>7020</v>
      </c>
      <c r="AK39" s="24"/>
      <c r="AO39" s="113"/>
      <c r="AP39" s="114"/>
      <c r="AQ39" s="17" t="s">
        <v>86</v>
      </c>
      <c r="AR39" s="19">
        <f>MIN(AR3:AR32)</f>
        <v>6000</v>
      </c>
      <c r="AS39" s="24"/>
      <c r="AW39" s="113"/>
      <c r="AX39" s="114"/>
      <c r="AY39" s="17" t="s">
        <v>86</v>
      </c>
      <c r="AZ39" s="19">
        <f>MIN(AZ3:AZ33)</f>
        <v>3000</v>
      </c>
      <c r="BA39" s="24"/>
      <c r="BE39" s="113"/>
      <c r="BF39" s="114"/>
      <c r="BG39" s="17" t="s">
        <v>86</v>
      </c>
      <c r="BH39" s="19">
        <f>MIN(BH3:BH33)</f>
        <v>30500</v>
      </c>
      <c r="BI39" s="24"/>
      <c r="BM39" s="113"/>
      <c r="BN39" s="114"/>
      <c r="BO39" s="17" t="s">
        <v>86</v>
      </c>
      <c r="BP39" s="19">
        <f>MIN(BP3:BP32)</f>
        <v>900</v>
      </c>
      <c r="BQ39" s="24"/>
      <c r="BU39" s="113"/>
      <c r="BV39" s="114"/>
      <c r="BW39" s="17" t="s">
        <v>86</v>
      </c>
      <c r="BX39" s="19">
        <f>MIN(BX3:BX33)</f>
        <v>3000</v>
      </c>
      <c r="BY39" s="24"/>
      <c r="CC39" s="113"/>
      <c r="CD39" s="114"/>
      <c r="CE39" s="17" t="s">
        <v>86</v>
      </c>
      <c r="CF39" s="19">
        <f>MIN(CF3:CF32)</f>
        <v>5000</v>
      </c>
      <c r="CG39" s="24"/>
      <c r="CK39" s="113"/>
      <c r="CL39" s="114"/>
      <c r="CM39" s="17" t="s">
        <v>86</v>
      </c>
      <c r="CN39" s="19">
        <f>MIN(CN3:CN33)</f>
        <v>1200</v>
      </c>
      <c r="CO39" s="24"/>
    </row>
    <row r="40" spans="1:93">
      <c r="A40" s="113"/>
      <c r="B40" s="114"/>
      <c r="C40" s="17" t="s">
        <v>87</v>
      </c>
      <c r="D40" s="19"/>
      <c r="E40" s="24">
        <f>MIN(E3:E32)</f>
        <v>114</v>
      </c>
      <c r="I40" s="113"/>
      <c r="J40" s="114"/>
      <c r="K40" s="17" t="s">
        <v>87</v>
      </c>
      <c r="L40" s="19"/>
      <c r="M40" s="24">
        <f>MIN(M3:M30)</f>
        <v>41</v>
      </c>
      <c r="Q40" s="113"/>
      <c r="R40" s="114"/>
      <c r="S40" s="17" t="s">
        <v>87</v>
      </c>
      <c r="T40" s="19"/>
      <c r="U40" s="24">
        <f>MIN(U3:U33)</f>
        <v>150</v>
      </c>
      <c r="Y40" s="113"/>
      <c r="Z40" s="114"/>
      <c r="AA40" s="17" t="s">
        <v>87</v>
      </c>
      <c r="AB40" s="19"/>
      <c r="AC40" s="24">
        <f>MIN(AC3:AC32)</f>
        <v>100</v>
      </c>
      <c r="AG40" s="113"/>
      <c r="AH40" s="114"/>
      <c r="AI40" s="17" t="s">
        <v>87</v>
      </c>
      <c r="AJ40" s="19"/>
      <c r="AK40" s="24">
        <f>MIN(AK3:AK33)</f>
        <v>100</v>
      </c>
      <c r="AO40" s="113"/>
      <c r="AP40" s="114"/>
      <c r="AQ40" s="17" t="s">
        <v>87</v>
      </c>
      <c r="AR40" s="19"/>
      <c r="AS40" s="24">
        <f>MIN(AS3:AS32)</f>
        <v>100</v>
      </c>
      <c r="AW40" s="113"/>
      <c r="AX40" s="114"/>
      <c r="AY40" s="17" t="s">
        <v>87</v>
      </c>
      <c r="AZ40" s="19"/>
      <c r="BA40" s="24">
        <f>MIN(BA3:BA33)</f>
        <v>150</v>
      </c>
      <c r="BE40" s="113"/>
      <c r="BF40" s="114"/>
      <c r="BG40" s="17" t="s">
        <v>87</v>
      </c>
      <c r="BH40" s="19"/>
      <c r="BI40" s="24">
        <f>MIN(BI3:BI33)</f>
        <v>400</v>
      </c>
      <c r="BM40" s="113"/>
      <c r="BN40" s="114"/>
      <c r="BO40" s="17" t="s">
        <v>87</v>
      </c>
      <c r="BP40" s="19"/>
      <c r="BQ40" s="24">
        <f>MIN(BQ3:BQ32)</f>
        <v>100</v>
      </c>
      <c r="BU40" s="113"/>
      <c r="BV40" s="114"/>
      <c r="BW40" s="17" t="s">
        <v>87</v>
      </c>
      <c r="BX40" s="19"/>
      <c r="BY40" s="24">
        <f>MIN(BY3:BY33)</f>
        <v>150</v>
      </c>
      <c r="CC40" s="113"/>
      <c r="CD40" s="114"/>
      <c r="CE40" s="17" t="s">
        <v>87</v>
      </c>
      <c r="CF40" s="19"/>
      <c r="CG40" s="24">
        <f>MIN(CG3:CG32)</f>
        <v>100</v>
      </c>
      <c r="CK40" s="113"/>
      <c r="CL40" s="114"/>
      <c r="CM40" s="17" t="s">
        <v>87</v>
      </c>
      <c r="CN40" s="19"/>
      <c r="CO40" s="24">
        <f>MIN(CO3:CO33)</f>
        <v>500</v>
      </c>
    </row>
    <row r="41" spans="1:93">
      <c r="A41" s="115"/>
      <c r="B41" s="116"/>
      <c r="C41" s="25" t="s">
        <v>81</v>
      </c>
      <c r="D41" s="117">
        <f>SUM(D35-E36)</f>
        <v>1703</v>
      </c>
      <c r="E41" s="118"/>
      <c r="I41" s="115"/>
      <c r="J41" s="116"/>
      <c r="K41" s="25" t="s">
        <v>81</v>
      </c>
      <c r="L41" s="117">
        <f>L35-M36</f>
        <v>1673</v>
      </c>
      <c r="M41" s="118"/>
      <c r="Q41" s="115"/>
      <c r="R41" s="116"/>
      <c r="S41" s="25" t="s">
        <v>81</v>
      </c>
      <c r="T41" s="117">
        <f>T35-U36</f>
        <v>-36800</v>
      </c>
      <c r="U41" s="118"/>
      <c r="Y41" s="115"/>
      <c r="Z41" s="116"/>
      <c r="AA41" s="25" t="s">
        <v>81</v>
      </c>
      <c r="AB41" s="117">
        <f>AB35-AC36</f>
        <v>2170</v>
      </c>
      <c r="AC41" s="118"/>
      <c r="AG41" s="115"/>
      <c r="AH41" s="116"/>
      <c r="AI41" s="25" t="s">
        <v>81</v>
      </c>
      <c r="AJ41" s="117">
        <f>AJ35-AK36</f>
        <v>920</v>
      </c>
      <c r="AK41" s="118"/>
      <c r="AO41" s="115"/>
      <c r="AP41" s="116"/>
      <c r="AQ41" s="25" t="s">
        <v>81</v>
      </c>
      <c r="AR41" s="117">
        <f>AR35-AS36</f>
        <v>-3400</v>
      </c>
      <c r="AS41" s="118"/>
      <c r="AW41" s="115"/>
      <c r="AX41" s="116"/>
      <c r="AY41" s="25" t="s">
        <v>81</v>
      </c>
      <c r="AZ41" s="117">
        <f>AZ35-BA36</f>
        <v>69450</v>
      </c>
      <c r="BA41" s="118"/>
      <c r="BE41" s="115"/>
      <c r="BF41" s="116"/>
      <c r="BG41" s="25" t="s">
        <v>81</v>
      </c>
      <c r="BH41" s="117">
        <f>BH35-BI36</f>
        <v>-41700</v>
      </c>
      <c r="BI41" s="118"/>
      <c r="BM41" s="115"/>
      <c r="BN41" s="116"/>
      <c r="BO41" s="25" t="s">
        <v>81</v>
      </c>
      <c r="BP41" s="117">
        <f>BP35-BQ36</f>
        <v>0</v>
      </c>
      <c r="BQ41" s="118"/>
      <c r="BU41" s="115"/>
      <c r="BV41" s="116"/>
      <c r="BW41" s="25" t="s">
        <v>81</v>
      </c>
      <c r="BX41" s="117">
        <f>BX35-BY36</f>
        <v>17340</v>
      </c>
      <c r="BY41" s="118"/>
      <c r="CC41" s="115"/>
      <c r="CD41" s="116"/>
      <c r="CE41" s="25" t="s">
        <v>81</v>
      </c>
      <c r="CF41" s="117">
        <f>CF35-CG36</f>
        <v>-13250</v>
      </c>
      <c r="CG41" s="118"/>
      <c r="CK41" s="115"/>
      <c r="CL41" s="116"/>
      <c r="CM41" s="25" t="s">
        <v>81</v>
      </c>
      <c r="CN41" s="117">
        <f>CN35-CO36</f>
        <v>5750</v>
      </c>
      <c r="CO41" s="118"/>
    </row>
    <row r="42" spans="1:93">
      <c r="A42" s="1"/>
      <c r="C42" s="6"/>
      <c r="I42" s="30"/>
      <c r="K42" s="6"/>
      <c r="L42" s="3"/>
      <c r="Q42" s="30"/>
      <c r="S42" s="6"/>
      <c r="T42" s="3"/>
      <c r="Y42" s="30"/>
      <c r="AA42" s="6"/>
      <c r="AB42" s="3"/>
      <c r="AG42" s="30"/>
      <c r="AI42" s="6"/>
      <c r="AJ42" s="3"/>
      <c r="AO42" s="30"/>
      <c r="AQ42" s="6"/>
      <c r="AR42" s="3"/>
      <c r="AW42" s="30"/>
      <c r="AY42" s="6"/>
      <c r="AZ42" s="3"/>
      <c r="BE42" s="30"/>
      <c r="BG42" s="6"/>
      <c r="BH42" s="3"/>
      <c r="BM42" s="30"/>
      <c r="BO42" s="6"/>
      <c r="BP42" s="3"/>
      <c r="BU42" s="30"/>
      <c r="BW42" s="6"/>
      <c r="BX42" s="3"/>
      <c r="CC42" s="30"/>
      <c r="CE42" s="6"/>
      <c r="CF42" s="3"/>
      <c r="CK42" s="30"/>
      <c r="CM42" s="6"/>
      <c r="CN42" s="3"/>
    </row>
    <row r="44" spans="1:93">
      <c r="S44" s="38"/>
    </row>
    <row r="45" spans="1:93" ht="18.75">
      <c r="BG45" s="51" t="s">
        <v>203</v>
      </c>
    </row>
    <row r="47" spans="1:93">
      <c r="AI47" s="38"/>
    </row>
    <row r="62" spans="1:5">
      <c r="A62" s="1"/>
      <c r="B62" s="1"/>
      <c r="C62" s="1"/>
      <c r="D62" s="2"/>
      <c r="E62" s="1"/>
    </row>
  </sheetData>
  <mergeCells count="48">
    <mergeCell ref="CK1:CO1"/>
    <mergeCell ref="CK34:CO34"/>
    <mergeCell ref="CK35:CL41"/>
    <mergeCell ref="CN41:CO41"/>
    <mergeCell ref="CC1:CG1"/>
    <mergeCell ref="CC34:CG34"/>
    <mergeCell ref="CC35:CD41"/>
    <mergeCell ref="CF41:CG41"/>
    <mergeCell ref="BM1:BQ1"/>
    <mergeCell ref="BM34:BQ34"/>
    <mergeCell ref="BM35:BN41"/>
    <mergeCell ref="BP41:BQ41"/>
    <mergeCell ref="BU1:BY1"/>
    <mergeCell ref="BU34:BY34"/>
    <mergeCell ref="BU35:BV41"/>
    <mergeCell ref="BX41:BY41"/>
    <mergeCell ref="BE1:BI1"/>
    <mergeCell ref="BE34:BI34"/>
    <mergeCell ref="BE35:BF41"/>
    <mergeCell ref="BH41:BI41"/>
    <mergeCell ref="AW1:BA1"/>
    <mergeCell ref="AW34:BA34"/>
    <mergeCell ref="AW35:AX41"/>
    <mergeCell ref="AZ41:BA41"/>
    <mergeCell ref="AO1:AS1"/>
    <mergeCell ref="AO34:AS34"/>
    <mergeCell ref="AO35:AP41"/>
    <mergeCell ref="AR41:AS41"/>
    <mergeCell ref="AG1:AK1"/>
    <mergeCell ref="AG34:AK34"/>
    <mergeCell ref="AG35:AH41"/>
    <mergeCell ref="AJ41:AK41"/>
    <mergeCell ref="Q34:U34"/>
    <mergeCell ref="Y1:AC1"/>
    <mergeCell ref="Y34:AC34"/>
    <mergeCell ref="Y35:Z41"/>
    <mergeCell ref="AB41:AC41"/>
    <mergeCell ref="Q1:U1"/>
    <mergeCell ref="Q35:R41"/>
    <mergeCell ref="T41:U41"/>
    <mergeCell ref="A1:E1"/>
    <mergeCell ref="A35:B41"/>
    <mergeCell ref="D41:E41"/>
    <mergeCell ref="I1:M1"/>
    <mergeCell ref="I35:J41"/>
    <mergeCell ref="L41:M41"/>
    <mergeCell ref="A34:E34"/>
    <mergeCell ref="I34:M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Overview</vt:lpstr>
      <vt:lpstr>Dashboard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 Acharya</dc:creator>
  <cp:lastModifiedBy>Anam Acharya</cp:lastModifiedBy>
  <cp:lastPrinted>2025-11-05T09:18:58Z</cp:lastPrinted>
  <dcterms:created xsi:type="dcterms:W3CDTF">2025-11-04T07:51:36Z</dcterms:created>
  <dcterms:modified xsi:type="dcterms:W3CDTF">2025-11-07T16:21:08Z</dcterms:modified>
</cp:coreProperties>
</file>